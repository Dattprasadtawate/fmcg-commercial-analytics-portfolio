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rasa\Desktop\git hub projects\"/>
    </mc:Choice>
  </mc:AlternateContent>
  <xr:revisionPtr revIDLastSave="0" documentId="8_{5063B113-AC83-4F93-BA6D-9EADD962F3A6}" xr6:coauthVersionLast="47" xr6:coauthVersionMax="47" xr10:uidLastSave="{00000000-0000-0000-0000-000000000000}"/>
  <bookViews>
    <workbookView xWindow="-108" yWindow="-108" windowWidth="23256" windowHeight="12456" tabRatio="500" xr2:uid="{00000000-000D-0000-FFFF-FFFF00000000}"/>
  </bookViews>
  <sheets>
    <sheet name="Dashboard" sheetId="1" r:id="rId1"/>
    <sheet name="Insights" sheetId="2" r:id="rId2"/>
    <sheet name="Analysis" sheetId="3" r:id="rId3"/>
    <sheet name="Data" sheetId="4" r:id="rId4"/>
  </sheets>
  <definedNames>
    <definedName name="_xlnm.Print_Area" localSheetId="0">Dashboard!$A$1:$N$58</definedName>
    <definedName name="_xlnm.Print_Area" localSheetId="1">Insights!$A$1:$B$32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01" i="4" l="1"/>
  <c r="R1501" i="4"/>
  <c r="S1500" i="4"/>
  <c r="R1500" i="4"/>
  <c r="S1499" i="4"/>
  <c r="R1499" i="4"/>
  <c r="S1498" i="4"/>
  <c r="R1498" i="4"/>
  <c r="S1497" i="4"/>
  <c r="R1497" i="4"/>
  <c r="S1496" i="4"/>
  <c r="R1496" i="4"/>
  <c r="S1495" i="4"/>
  <c r="R1495" i="4"/>
  <c r="S1494" i="4"/>
  <c r="R1494" i="4"/>
  <c r="S1493" i="4"/>
  <c r="R1493" i="4"/>
  <c r="S1492" i="4"/>
  <c r="R1492" i="4"/>
  <c r="S1491" i="4"/>
  <c r="R1491" i="4"/>
  <c r="S1490" i="4"/>
  <c r="R1490" i="4"/>
  <c r="S1489" i="4"/>
  <c r="R1489" i="4"/>
  <c r="S1488" i="4"/>
  <c r="R1488" i="4"/>
  <c r="S1487" i="4"/>
  <c r="R1487" i="4"/>
  <c r="S1486" i="4"/>
  <c r="R1486" i="4"/>
  <c r="S1485" i="4"/>
  <c r="R1485" i="4"/>
  <c r="S1484" i="4"/>
  <c r="R1484" i="4"/>
  <c r="S1483" i="4"/>
  <c r="R1483" i="4"/>
  <c r="S1482" i="4"/>
  <c r="R1482" i="4"/>
  <c r="S1481" i="4"/>
  <c r="R1481" i="4"/>
  <c r="S1480" i="4"/>
  <c r="R1480" i="4"/>
  <c r="S1479" i="4"/>
  <c r="R1479" i="4"/>
  <c r="S1478" i="4"/>
  <c r="R1478" i="4"/>
  <c r="S1477" i="4"/>
  <c r="R1477" i="4"/>
  <c r="S1476" i="4"/>
  <c r="R1476" i="4"/>
  <c r="S1475" i="4"/>
  <c r="R1475" i="4"/>
  <c r="S1474" i="4"/>
  <c r="R1474" i="4"/>
  <c r="S1473" i="4"/>
  <c r="R1473" i="4"/>
  <c r="S1472" i="4"/>
  <c r="R1472" i="4"/>
  <c r="S1471" i="4"/>
  <c r="R1471" i="4"/>
  <c r="S1470" i="4"/>
  <c r="R1470" i="4"/>
  <c r="S1469" i="4"/>
  <c r="R1469" i="4"/>
  <c r="S1468" i="4"/>
  <c r="R1468" i="4"/>
  <c r="S1467" i="4"/>
  <c r="R1467" i="4"/>
  <c r="S1466" i="4"/>
  <c r="R1466" i="4"/>
  <c r="S1465" i="4"/>
  <c r="R1465" i="4"/>
  <c r="S1464" i="4"/>
  <c r="R1464" i="4"/>
  <c r="S1463" i="4"/>
  <c r="R1463" i="4"/>
  <c r="S1462" i="4"/>
  <c r="R1462" i="4"/>
  <c r="S1461" i="4"/>
  <c r="R1461" i="4"/>
  <c r="S1460" i="4"/>
  <c r="R1460" i="4"/>
  <c r="S1459" i="4"/>
  <c r="R1459" i="4"/>
  <c r="S1458" i="4"/>
  <c r="R1458" i="4"/>
  <c r="S1457" i="4"/>
  <c r="R1457" i="4"/>
  <c r="S1456" i="4"/>
  <c r="R1456" i="4"/>
  <c r="S1455" i="4"/>
  <c r="R1455" i="4"/>
  <c r="S1454" i="4"/>
  <c r="R1454" i="4"/>
  <c r="S1453" i="4"/>
  <c r="R1453" i="4"/>
  <c r="S1452" i="4"/>
  <c r="R1452" i="4"/>
  <c r="S1451" i="4"/>
  <c r="R1451" i="4"/>
  <c r="S1450" i="4"/>
  <c r="R1450" i="4"/>
  <c r="S1449" i="4"/>
  <c r="R1449" i="4"/>
  <c r="S1448" i="4"/>
  <c r="R1448" i="4"/>
  <c r="S1447" i="4"/>
  <c r="R1447" i="4"/>
  <c r="S1446" i="4"/>
  <c r="R1446" i="4"/>
  <c r="S1445" i="4"/>
  <c r="R1445" i="4"/>
  <c r="S1444" i="4"/>
  <c r="R1444" i="4"/>
  <c r="S1443" i="4"/>
  <c r="R1443" i="4"/>
  <c r="S1442" i="4"/>
  <c r="R1442" i="4"/>
  <c r="S1441" i="4"/>
  <c r="R1441" i="4"/>
  <c r="S1440" i="4"/>
  <c r="R1440" i="4"/>
  <c r="S1439" i="4"/>
  <c r="R1439" i="4"/>
  <c r="S1438" i="4"/>
  <c r="R1438" i="4"/>
  <c r="S1437" i="4"/>
  <c r="R1437" i="4"/>
  <c r="S1436" i="4"/>
  <c r="R1436" i="4"/>
  <c r="S1435" i="4"/>
  <c r="R1435" i="4"/>
  <c r="S1434" i="4"/>
  <c r="R1434" i="4"/>
  <c r="S1433" i="4"/>
  <c r="R1433" i="4"/>
  <c r="S1432" i="4"/>
  <c r="R1432" i="4"/>
  <c r="S1431" i="4"/>
  <c r="R1431" i="4"/>
  <c r="S1430" i="4"/>
  <c r="R1430" i="4"/>
  <c r="S1429" i="4"/>
  <c r="R1429" i="4"/>
  <c r="S1428" i="4"/>
  <c r="R1428" i="4"/>
  <c r="S1427" i="4"/>
  <c r="R1427" i="4"/>
  <c r="S1426" i="4"/>
  <c r="R1426" i="4"/>
  <c r="S1425" i="4"/>
  <c r="R1425" i="4"/>
  <c r="S1424" i="4"/>
  <c r="R1424" i="4"/>
  <c r="S1423" i="4"/>
  <c r="R1423" i="4"/>
  <c r="S1422" i="4"/>
  <c r="R1422" i="4"/>
  <c r="S1421" i="4"/>
  <c r="R1421" i="4"/>
  <c r="S1420" i="4"/>
  <c r="R1420" i="4"/>
  <c r="S1419" i="4"/>
  <c r="R1419" i="4"/>
  <c r="S1418" i="4"/>
  <c r="R1418" i="4"/>
  <c r="S1417" i="4"/>
  <c r="R1417" i="4"/>
  <c r="S1416" i="4"/>
  <c r="R1416" i="4"/>
  <c r="S1415" i="4"/>
  <c r="R1415" i="4"/>
  <c r="S1414" i="4"/>
  <c r="R1414" i="4"/>
  <c r="S1413" i="4"/>
  <c r="R1413" i="4"/>
  <c r="S1412" i="4"/>
  <c r="R1412" i="4"/>
  <c r="S1411" i="4"/>
  <c r="R1411" i="4"/>
  <c r="S1410" i="4"/>
  <c r="R1410" i="4"/>
  <c r="S1409" i="4"/>
  <c r="R1409" i="4"/>
  <c r="S1408" i="4"/>
  <c r="R1408" i="4"/>
  <c r="S1407" i="4"/>
  <c r="R1407" i="4"/>
  <c r="S1406" i="4"/>
  <c r="R1406" i="4"/>
  <c r="S1405" i="4"/>
  <c r="R1405" i="4"/>
  <c r="S1404" i="4"/>
  <c r="R1404" i="4"/>
  <c r="S1403" i="4"/>
  <c r="R1403" i="4"/>
  <c r="S1402" i="4"/>
  <c r="R1402" i="4"/>
  <c r="S1401" i="4"/>
  <c r="R1401" i="4"/>
  <c r="S1400" i="4"/>
  <c r="R1400" i="4"/>
  <c r="S1399" i="4"/>
  <c r="R1399" i="4"/>
  <c r="S1398" i="4"/>
  <c r="R1398" i="4"/>
  <c r="S1397" i="4"/>
  <c r="R1397" i="4"/>
  <c r="S1396" i="4"/>
  <c r="R1396" i="4"/>
  <c r="S1395" i="4"/>
  <c r="R1395" i="4"/>
  <c r="S1394" i="4"/>
  <c r="R1394" i="4"/>
  <c r="S1393" i="4"/>
  <c r="R1393" i="4"/>
  <c r="S1392" i="4"/>
  <c r="R1392" i="4"/>
  <c r="S1391" i="4"/>
  <c r="R1391" i="4"/>
  <c r="S1390" i="4"/>
  <c r="R1390" i="4"/>
  <c r="S1389" i="4"/>
  <c r="R1389" i="4"/>
  <c r="S1388" i="4"/>
  <c r="R1388" i="4"/>
  <c r="S1387" i="4"/>
  <c r="R1387" i="4"/>
  <c r="S1386" i="4"/>
  <c r="R1386" i="4"/>
  <c r="S1385" i="4"/>
  <c r="R1385" i="4"/>
  <c r="S1384" i="4"/>
  <c r="R1384" i="4"/>
  <c r="S1383" i="4"/>
  <c r="R1383" i="4"/>
  <c r="S1382" i="4"/>
  <c r="R1382" i="4"/>
  <c r="S1381" i="4"/>
  <c r="R1381" i="4"/>
  <c r="S1380" i="4"/>
  <c r="R1380" i="4"/>
  <c r="S1379" i="4"/>
  <c r="R1379" i="4"/>
  <c r="S1378" i="4"/>
  <c r="R1378" i="4"/>
  <c r="S1377" i="4"/>
  <c r="R1377" i="4"/>
  <c r="S1376" i="4"/>
  <c r="R1376" i="4"/>
  <c r="S1375" i="4"/>
  <c r="R1375" i="4"/>
  <c r="S1374" i="4"/>
  <c r="R1374" i="4"/>
  <c r="S1373" i="4"/>
  <c r="R1373" i="4"/>
  <c r="S1372" i="4"/>
  <c r="R1372" i="4"/>
  <c r="S1371" i="4"/>
  <c r="R1371" i="4"/>
  <c r="S1370" i="4"/>
  <c r="R1370" i="4"/>
  <c r="S1369" i="4"/>
  <c r="R1369" i="4"/>
  <c r="S1368" i="4"/>
  <c r="R1368" i="4"/>
  <c r="S1367" i="4"/>
  <c r="R1367" i="4"/>
  <c r="S1366" i="4"/>
  <c r="R1366" i="4"/>
  <c r="S1365" i="4"/>
  <c r="R1365" i="4"/>
  <c r="S1364" i="4"/>
  <c r="R1364" i="4"/>
  <c r="S1363" i="4"/>
  <c r="R1363" i="4"/>
  <c r="S1362" i="4"/>
  <c r="R1362" i="4"/>
  <c r="S1361" i="4"/>
  <c r="R1361" i="4"/>
  <c r="S1360" i="4"/>
  <c r="R1360" i="4"/>
  <c r="S1359" i="4"/>
  <c r="R1359" i="4"/>
  <c r="S1358" i="4"/>
  <c r="R1358" i="4"/>
  <c r="S1357" i="4"/>
  <c r="R1357" i="4"/>
  <c r="S1356" i="4"/>
  <c r="R1356" i="4"/>
  <c r="S1355" i="4"/>
  <c r="R1355" i="4"/>
  <c r="S1354" i="4"/>
  <c r="R1354" i="4"/>
  <c r="S1353" i="4"/>
  <c r="R1353" i="4"/>
  <c r="S1352" i="4"/>
  <c r="R1352" i="4"/>
  <c r="S1351" i="4"/>
  <c r="R1351" i="4"/>
  <c r="S1350" i="4"/>
  <c r="R1350" i="4"/>
  <c r="S1349" i="4"/>
  <c r="R1349" i="4"/>
  <c r="S1348" i="4"/>
  <c r="R1348" i="4"/>
  <c r="S1347" i="4"/>
  <c r="R1347" i="4"/>
  <c r="S1346" i="4"/>
  <c r="R1346" i="4"/>
  <c r="S1345" i="4"/>
  <c r="R1345" i="4"/>
  <c r="S1344" i="4"/>
  <c r="R1344" i="4"/>
  <c r="S1343" i="4"/>
  <c r="R1343" i="4"/>
  <c r="S1342" i="4"/>
  <c r="R1342" i="4"/>
  <c r="S1341" i="4"/>
  <c r="R1341" i="4"/>
  <c r="S1340" i="4"/>
  <c r="R1340" i="4"/>
  <c r="S1339" i="4"/>
  <c r="R1339" i="4"/>
  <c r="S1338" i="4"/>
  <c r="R1338" i="4"/>
  <c r="S1337" i="4"/>
  <c r="R1337" i="4"/>
  <c r="S1336" i="4"/>
  <c r="R1336" i="4"/>
  <c r="S1335" i="4"/>
  <c r="R1335" i="4"/>
  <c r="S1334" i="4"/>
  <c r="R1334" i="4"/>
  <c r="S1333" i="4"/>
  <c r="R1333" i="4"/>
  <c r="S1332" i="4"/>
  <c r="R1332" i="4"/>
  <c r="S1331" i="4"/>
  <c r="R1331" i="4"/>
  <c r="S1330" i="4"/>
  <c r="R1330" i="4"/>
  <c r="S1329" i="4"/>
  <c r="R1329" i="4"/>
  <c r="S1328" i="4"/>
  <c r="R1328" i="4"/>
  <c r="S1327" i="4"/>
  <c r="R1327" i="4"/>
  <c r="S1326" i="4"/>
  <c r="R1326" i="4"/>
  <c r="S1325" i="4"/>
  <c r="R1325" i="4"/>
  <c r="S1324" i="4"/>
  <c r="R1324" i="4"/>
  <c r="S1323" i="4"/>
  <c r="R1323" i="4"/>
  <c r="S1322" i="4"/>
  <c r="R1322" i="4"/>
  <c r="S1321" i="4"/>
  <c r="R1321" i="4"/>
  <c r="S1320" i="4"/>
  <c r="R1320" i="4"/>
  <c r="S1319" i="4"/>
  <c r="R1319" i="4"/>
  <c r="S1318" i="4"/>
  <c r="R1318" i="4"/>
  <c r="S1317" i="4"/>
  <c r="R1317" i="4"/>
  <c r="S1316" i="4"/>
  <c r="R1316" i="4"/>
  <c r="S1315" i="4"/>
  <c r="R1315" i="4"/>
  <c r="S1314" i="4"/>
  <c r="R1314" i="4"/>
  <c r="S1313" i="4"/>
  <c r="R1313" i="4"/>
  <c r="S1312" i="4"/>
  <c r="R1312" i="4"/>
  <c r="S1311" i="4"/>
  <c r="R1311" i="4"/>
  <c r="S1310" i="4"/>
  <c r="R1310" i="4"/>
  <c r="S1309" i="4"/>
  <c r="R1309" i="4"/>
  <c r="S1308" i="4"/>
  <c r="R1308" i="4"/>
  <c r="S1307" i="4"/>
  <c r="R1307" i="4"/>
  <c r="S1306" i="4"/>
  <c r="R1306" i="4"/>
  <c r="S1305" i="4"/>
  <c r="R1305" i="4"/>
  <c r="S1304" i="4"/>
  <c r="R1304" i="4"/>
  <c r="S1303" i="4"/>
  <c r="R1303" i="4"/>
  <c r="S1302" i="4"/>
  <c r="R1302" i="4"/>
  <c r="S1301" i="4"/>
  <c r="R1301" i="4"/>
  <c r="S1300" i="4"/>
  <c r="R1300" i="4"/>
  <c r="S1299" i="4"/>
  <c r="R1299" i="4"/>
  <c r="S1298" i="4"/>
  <c r="R1298" i="4"/>
  <c r="S1297" i="4"/>
  <c r="R1297" i="4"/>
  <c r="S1296" i="4"/>
  <c r="R1296" i="4"/>
  <c r="S1295" i="4"/>
  <c r="R1295" i="4"/>
  <c r="S1294" i="4"/>
  <c r="R1294" i="4"/>
  <c r="S1293" i="4"/>
  <c r="R1293" i="4"/>
  <c r="S1292" i="4"/>
  <c r="R1292" i="4"/>
  <c r="S1291" i="4"/>
  <c r="R1291" i="4"/>
  <c r="S1290" i="4"/>
  <c r="R1290" i="4"/>
  <c r="S1289" i="4"/>
  <c r="R1289" i="4"/>
  <c r="S1288" i="4"/>
  <c r="R1288" i="4"/>
  <c r="S1287" i="4"/>
  <c r="R1287" i="4"/>
  <c r="S1286" i="4"/>
  <c r="R1286" i="4"/>
  <c r="S1285" i="4"/>
  <c r="R1285" i="4"/>
  <c r="S1284" i="4"/>
  <c r="R1284" i="4"/>
  <c r="S1283" i="4"/>
  <c r="R1283" i="4"/>
  <c r="S1282" i="4"/>
  <c r="R1282" i="4"/>
  <c r="S1281" i="4"/>
  <c r="R1281" i="4"/>
  <c r="S1280" i="4"/>
  <c r="R1280" i="4"/>
  <c r="S1279" i="4"/>
  <c r="R1279" i="4"/>
  <c r="S1278" i="4"/>
  <c r="R1278" i="4"/>
  <c r="S1277" i="4"/>
  <c r="R1277" i="4"/>
  <c r="S1276" i="4"/>
  <c r="R1276" i="4"/>
  <c r="S1275" i="4"/>
  <c r="R1275" i="4"/>
  <c r="S1274" i="4"/>
  <c r="R1274" i="4"/>
  <c r="S1273" i="4"/>
  <c r="R1273" i="4"/>
  <c r="S1272" i="4"/>
  <c r="R1272" i="4"/>
  <c r="S1271" i="4"/>
  <c r="R1271" i="4"/>
  <c r="S1270" i="4"/>
  <c r="R1270" i="4"/>
  <c r="S1269" i="4"/>
  <c r="R1269" i="4"/>
  <c r="S1268" i="4"/>
  <c r="R1268" i="4"/>
  <c r="S1267" i="4"/>
  <c r="R1267" i="4"/>
  <c r="S1266" i="4"/>
  <c r="R1266" i="4"/>
  <c r="S1265" i="4"/>
  <c r="R1265" i="4"/>
  <c r="S1264" i="4"/>
  <c r="R1264" i="4"/>
  <c r="S1263" i="4"/>
  <c r="R1263" i="4"/>
  <c r="S1262" i="4"/>
  <c r="R1262" i="4"/>
  <c r="S1261" i="4"/>
  <c r="R1261" i="4"/>
  <c r="S1260" i="4"/>
  <c r="R1260" i="4"/>
  <c r="S1259" i="4"/>
  <c r="R1259" i="4"/>
  <c r="S1258" i="4"/>
  <c r="R1258" i="4"/>
  <c r="S1257" i="4"/>
  <c r="R1257" i="4"/>
  <c r="S1256" i="4"/>
  <c r="R1256" i="4"/>
  <c r="S1255" i="4"/>
  <c r="R1255" i="4"/>
  <c r="S1254" i="4"/>
  <c r="R1254" i="4"/>
  <c r="S1253" i="4"/>
  <c r="R1253" i="4"/>
  <c r="S1252" i="4"/>
  <c r="R1252" i="4"/>
  <c r="S1251" i="4"/>
  <c r="R1251" i="4"/>
  <c r="S1250" i="4"/>
  <c r="R1250" i="4"/>
  <c r="S1249" i="4"/>
  <c r="R1249" i="4"/>
  <c r="S1248" i="4"/>
  <c r="R1248" i="4"/>
  <c r="S1247" i="4"/>
  <c r="R1247" i="4"/>
  <c r="S1246" i="4"/>
  <c r="R1246" i="4"/>
  <c r="S1245" i="4"/>
  <c r="R1245" i="4"/>
  <c r="S1244" i="4"/>
  <c r="R1244" i="4"/>
  <c r="S1243" i="4"/>
  <c r="R1243" i="4"/>
  <c r="S1242" i="4"/>
  <c r="R1242" i="4"/>
  <c r="S1241" i="4"/>
  <c r="R1241" i="4"/>
  <c r="S1240" i="4"/>
  <c r="R1240" i="4"/>
  <c r="S1239" i="4"/>
  <c r="R1239" i="4"/>
  <c r="S1238" i="4"/>
  <c r="R1238" i="4"/>
  <c r="S1237" i="4"/>
  <c r="R1237" i="4"/>
  <c r="S1236" i="4"/>
  <c r="R1236" i="4"/>
  <c r="S1235" i="4"/>
  <c r="R1235" i="4"/>
  <c r="S1234" i="4"/>
  <c r="R1234" i="4"/>
  <c r="S1233" i="4"/>
  <c r="R1233" i="4"/>
  <c r="S1232" i="4"/>
  <c r="R1232" i="4"/>
  <c r="S1231" i="4"/>
  <c r="R1231" i="4"/>
  <c r="S1230" i="4"/>
  <c r="R1230" i="4"/>
  <c r="S1229" i="4"/>
  <c r="R1229" i="4"/>
  <c r="S1228" i="4"/>
  <c r="R1228" i="4"/>
  <c r="S1227" i="4"/>
  <c r="R1227" i="4"/>
  <c r="S1226" i="4"/>
  <c r="R1226" i="4"/>
  <c r="S1225" i="4"/>
  <c r="R1225" i="4"/>
  <c r="S1224" i="4"/>
  <c r="R1224" i="4"/>
  <c r="S1223" i="4"/>
  <c r="R1223" i="4"/>
  <c r="S1222" i="4"/>
  <c r="R1222" i="4"/>
  <c r="S1221" i="4"/>
  <c r="R1221" i="4"/>
  <c r="S1220" i="4"/>
  <c r="R1220" i="4"/>
  <c r="S1219" i="4"/>
  <c r="R1219" i="4"/>
  <c r="S1218" i="4"/>
  <c r="R1218" i="4"/>
  <c r="S1217" i="4"/>
  <c r="R1217" i="4"/>
  <c r="S1216" i="4"/>
  <c r="R1216" i="4"/>
  <c r="S1215" i="4"/>
  <c r="R1215" i="4"/>
  <c r="S1214" i="4"/>
  <c r="R1214" i="4"/>
  <c r="S1213" i="4"/>
  <c r="R1213" i="4"/>
  <c r="S1212" i="4"/>
  <c r="R1212" i="4"/>
  <c r="S1211" i="4"/>
  <c r="R1211" i="4"/>
  <c r="S1210" i="4"/>
  <c r="R1210" i="4"/>
  <c r="S1209" i="4"/>
  <c r="R1209" i="4"/>
  <c r="S1208" i="4"/>
  <c r="R1208" i="4"/>
  <c r="S1207" i="4"/>
  <c r="R1207" i="4"/>
  <c r="S1206" i="4"/>
  <c r="R1206" i="4"/>
  <c r="S1205" i="4"/>
  <c r="R1205" i="4"/>
  <c r="S1204" i="4"/>
  <c r="R1204" i="4"/>
  <c r="S1203" i="4"/>
  <c r="R1203" i="4"/>
  <c r="S1202" i="4"/>
  <c r="R1202" i="4"/>
  <c r="S1201" i="4"/>
  <c r="R1201" i="4"/>
  <c r="S1200" i="4"/>
  <c r="R1200" i="4"/>
  <c r="S1199" i="4"/>
  <c r="R1199" i="4"/>
  <c r="S1198" i="4"/>
  <c r="R1198" i="4"/>
  <c r="S1197" i="4"/>
  <c r="R1197" i="4"/>
  <c r="S1196" i="4"/>
  <c r="R1196" i="4"/>
  <c r="S1195" i="4"/>
  <c r="R1195" i="4"/>
  <c r="S1194" i="4"/>
  <c r="R1194" i="4"/>
  <c r="S1193" i="4"/>
  <c r="R1193" i="4"/>
  <c r="S1192" i="4"/>
  <c r="R1192" i="4"/>
  <c r="S1191" i="4"/>
  <c r="R1191" i="4"/>
  <c r="S1190" i="4"/>
  <c r="R1190" i="4"/>
  <c r="S1189" i="4"/>
  <c r="R1189" i="4"/>
  <c r="S1188" i="4"/>
  <c r="R1188" i="4"/>
  <c r="S1187" i="4"/>
  <c r="R1187" i="4"/>
  <c r="S1186" i="4"/>
  <c r="R1186" i="4"/>
  <c r="S1185" i="4"/>
  <c r="R1185" i="4"/>
  <c r="S1184" i="4"/>
  <c r="R1184" i="4"/>
  <c r="S1183" i="4"/>
  <c r="R1183" i="4"/>
  <c r="S1182" i="4"/>
  <c r="R1182" i="4"/>
  <c r="S1181" i="4"/>
  <c r="R1181" i="4"/>
  <c r="S1180" i="4"/>
  <c r="R1180" i="4"/>
  <c r="S1179" i="4"/>
  <c r="R1179" i="4"/>
  <c r="S1178" i="4"/>
  <c r="R1178" i="4"/>
  <c r="S1177" i="4"/>
  <c r="R1177" i="4"/>
  <c r="S1176" i="4"/>
  <c r="R1176" i="4"/>
  <c r="S1175" i="4"/>
  <c r="R1175" i="4"/>
  <c r="S1174" i="4"/>
  <c r="R1174" i="4"/>
  <c r="S1173" i="4"/>
  <c r="R1173" i="4"/>
  <c r="S1172" i="4"/>
  <c r="R1172" i="4"/>
  <c r="S1171" i="4"/>
  <c r="R1171" i="4"/>
  <c r="S1170" i="4"/>
  <c r="R1170" i="4"/>
  <c r="S1169" i="4"/>
  <c r="R1169" i="4"/>
  <c r="S1168" i="4"/>
  <c r="R1168" i="4"/>
  <c r="S1167" i="4"/>
  <c r="R1167" i="4"/>
  <c r="S1166" i="4"/>
  <c r="R1166" i="4"/>
  <c r="S1165" i="4"/>
  <c r="R1165" i="4"/>
  <c r="S1164" i="4"/>
  <c r="R1164" i="4"/>
  <c r="S1163" i="4"/>
  <c r="R1163" i="4"/>
  <c r="S1162" i="4"/>
  <c r="R1162" i="4"/>
  <c r="S1161" i="4"/>
  <c r="R1161" i="4"/>
  <c r="S1160" i="4"/>
  <c r="R1160" i="4"/>
  <c r="S1159" i="4"/>
  <c r="R1159" i="4"/>
  <c r="S1158" i="4"/>
  <c r="R1158" i="4"/>
  <c r="S1157" i="4"/>
  <c r="R1157" i="4"/>
  <c r="S1156" i="4"/>
  <c r="R1156" i="4"/>
  <c r="S1155" i="4"/>
  <c r="R1155" i="4"/>
  <c r="S1154" i="4"/>
  <c r="R1154" i="4"/>
  <c r="S1153" i="4"/>
  <c r="R1153" i="4"/>
  <c r="S1152" i="4"/>
  <c r="R1152" i="4"/>
  <c r="S1151" i="4"/>
  <c r="R1151" i="4"/>
  <c r="S1150" i="4"/>
  <c r="R1150" i="4"/>
  <c r="S1149" i="4"/>
  <c r="R1149" i="4"/>
  <c r="S1148" i="4"/>
  <c r="R1148" i="4"/>
  <c r="S1147" i="4"/>
  <c r="R1147" i="4"/>
  <c r="S1146" i="4"/>
  <c r="R1146" i="4"/>
  <c r="S1145" i="4"/>
  <c r="R1145" i="4"/>
  <c r="S1144" i="4"/>
  <c r="R1144" i="4"/>
  <c r="S1143" i="4"/>
  <c r="R1143" i="4"/>
  <c r="S1142" i="4"/>
  <c r="R1142" i="4"/>
  <c r="S1141" i="4"/>
  <c r="R1141" i="4"/>
  <c r="S1140" i="4"/>
  <c r="R1140" i="4"/>
  <c r="S1139" i="4"/>
  <c r="R1139" i="4"/>
  <c r="S1138" i="4"/>
  <c r="R1138" i="4"/>
  <c r="S1137" i="4"/>
  <c r="R1137" i="4"/>
  <c r="S1136" i="4"/>
  <c r="R1136" i="4"/>
  <c r="S1135" i="4"/>
  <c r="R1135" i="4"/>
  <c r="S1134" i="4"/>
  <c r="R1134" i="4"/>
  <c r="S1133" i="4"/>
  <c r="R1133" i="4"/>
  <c r="S1132" i="4"/>
  <c r="R1132" i="4"/>
  <c r="S1131" i="4"/>
  <c r="R1131" i="4"/>
  <c r="S1130" i="4"/>
  <c r="R1130" i="4"/>
  <c r="S1129" i="4"/>
  <c r="R1129" i="4"/>
  <c r="S1128" i="4"/>
  <c r="R1128" i="4"/>
  <c r="S1127" i="4"/>
  <c r="R1127" i="4"/>
  <c r="S1126" i="4"/>
  <c r="R1126" i="4"/>
  <c r="S1125" i="4"/>
  <c r="R1125" i="4"/>
  <c r="S1124" i="4"/>
  <c r="R1124" i="4"/>
  <c r="S1123" i="4"/>
  <c r="R1123" i="4"/>
  <c r="S1122" i="4"/>
  <c r="R1122" i="4"/>
  <c r="S1121" i="4"/>
  <c r="R1121" i="4"/>
  <c r="S1120" i="4"/>
  <c r="R1120" i="4"/>
  <c r="S1119" i="4"/>
  <c r="R1119" i="4"/>
  <c r="S1118" i="4"/>
  <c r="R1118" i="4"/>
  <c r="S1117" i="4"/>
  <c r="R1117" i="4"/>
  <c r="S1116" i="4"/>
  <c r="R1116" i="4"/>
  <c r="S1115" i="4"/>
  <c r="R1115" i="4"/>
  <c r="S1114" i="4"/>
  <c r="R1114" i="4"/>
  <c r="S1113" i="4"/>
  <c r="R1113" i="4"/>
  <c r="S1112" i="4"/>
  <c r="R1112" i="4"/>
  <c r="S1111" i="4"/>
  <c r="R1111" i="4"/>
  <c r="S1110" i="4"/>
  <c r="R1110" i="4"/>
  <c r="S1109" i="4"/>
  <c r="R1109" i="4"/>
  <c r="S1108" i="4"/>
  <c r="R1108" i="4"/>
  <c r="S1107" i="4"/>
  <c r="R1107" i="4"/>
  <c r="S1106" i="4"/>
  <c r="R1106" i="4"/>
  <c r="S1105" i="4"/>
  <c r="R1105" i="4"/>
  <c r="S1104" i="4"/>
  <c r="R1104" i="4"/>
  <c r="S1103" i="4"/>
  <c r="R1103" i="4"/>
  <c r="S1102" i="4"/>
  <c r="R1102" i="4"/>
  <c r="S1101" i="4"/>
  <c r="R1101" i="4"/>
  <c r="S1100" i="4"/>
  <c r="R1100" i="4"/>
  <c r="S1099" i="4"/>
  <c r="R1099" i="4"/>
  <c r="S1098" i="4"/>
  <c r="R1098" i="4"/>
  <c r="S1097" i="4"/>
  <c r="R1097" i="4"/>
  <c r="S1096" i="4"/>
  <c r="R1096" i="4"/>
  <c r="S1095" i="4"/>
  <c r="R1095" i="4"/>
  <c r="S1094" i="4"/>
  <c r="R1094" i="4"/>
  <c r="S1093" i="4"/>
  <c r="R1093" i="4"/>
  <c r="S1092" i="4"/>
  <c r="R1092" i="4"/>
  <c r="S1091" i="4"/>
  <c r="R1091" i="4"/>
  <c r="S1090" i="4"/>
  <c r="R1090" i="4"/>
  <c r="S1089" i="4"/>
  <c r="R1089" i="4"/>
  <c r="S1088" i="4"/>
  <c r="R1088" i="4"/>
  <c r="S1087" i="4"/>
  <c r="R1087" i="4"/>
  <c r="S1086" i="4"/>
  <c r="R1086" i="4"/>
  <c r="S1085" i="4"/>
  <c r="R1085" i="4"/>
  <c r="S1084" i="4"/>
  <c r="R1084" i="4"/>
  <c r="S1083" i="4"/>
  <c r="R1083" i="4"/>
  <c r="S1082" i="4"/>
  <c r="R1082" i="4"/>
  <c r="S1081" i="4"/>
  <c r="R1081" i="4"/>
  <c r="S1080" i="4"/>
  <c r="R1080" i="4"/>
  <c r="S1079" i="4"/>
  <c r="R1079" i="4"/>
  <c r="S1078" i="4"/>
  <c r="R1078" i="4"/>
  <c r="S1077" i="4"/>
  <c r="R1077" i="4"/>
  <c r="S1076" i="4"/>
  <c r="R1076" i="4"/>
  <c r="S1075" i="4"/>
  <c r="R1075" i="4"/>
  <c r="S1074" i="4"/>
  <c r="R1074" i="4"/>
  <c r="S1073" i="4"/>
  <c r="R1073" i="4"/>
  <c r="S1072" i="4"/>
  <c r="R1072" i="4"/>
  <c r="S1071" i="4"/>
  <c r="R1071" i="4"/>
  <c r="S1070" i="4"/>
  <c r="R1070" i="4"/>
  <c r="S1069" i="4"/>
  <c r="R1069" i="4"/>
  <c r="S1068" i="4"/>
  <c r="R1068" i="4"/>
  <c r="S1067" i="4"/>
  <c r="R1067" i="4"/>
  <c r="S1066" i="4"/>
  <c r="R1066" i="4"/>
  <c r="S1065" i="4"/>
  <c r="R1065" i="4"/>
  <c r="S1064" i="4"/>
  <c r="R1064" i="4"/>
  <c r="S1063" i="4"/>
  <c r="R1063" i="4"/>
  <c r="S1062" i="4"/>
  <c r="R1062" i="4"/>
  <c r="S1061" i="4"/>
  <c r="R1061" i="4"/>
  <c r="S1060" i="4"/>
  <c r="R1060" i="4"/>
  <c r="S1059" i="4"/>
  <c r="R1059" i="4"/>
  <c r="S1058" i="4"/>
  <c r="R1058" i="4"/>
  <c r="S1057" i="4"/>
  <c r="R1057" i="4"/>
  <c r="S1056" i="4"/>
  <c r="R1056" i="4"/>
  <c r="S1055" i="4"/>
  <c r="R1055" i="4"/>
  <c r="S1054" i="4"/>
  <c r="R1054" i="4"/>
  <c r="S1053" i="4"/>
  <c r="R1053" i="4"/>
  <c r="S1052" i="4"/>
  <c r="R1052" i="4"/>
  <c r="S1051" i="4"/>
  <c r="R1051" i="4"/>
  <c r="S1050" i="4"/>
  <c r="R1050" i="4"/>
  <c r="S1049" i="4"/>
  <c r="R1049" i="4"/>
  <c r="S1048" i="4"/>
  <c r="R1048" i="4"/>
  <c r="S1047" i="4"/>
  <c r="R1047" i="4"/>
  <c r="S1046" i="4"/>
  <c r="R1046" i="4"/>
  <c r="S1045" i="4"/>
  <c r="R1045" i="4"/>
  <c r="S1044" i="4"/>
  <c r="R1044" i="4"/>
  <c r="S1043" i="4"/>
  <c r="R1043" i="4"/>
  <c r="S1042" i="4"/>
  <c r="R1042" i="4"/>
  <c r="S1041" i="4"/>
  <c r="R1041" i="4"/>
  <c r="S1040" i="4"/>
  <c r="R1040" i="4"/>
  <c r="S1039" i="4"/>
  <c r="R1039" i="4"/>
  <c r="S1038" i="4"/>
  <c r="R1038" i="4"/>
  <c r="S1037" i="4"/>
  <c r="R1037" i="4"/>
  <c r="S1036" i="4"/>
  <c r="R1036" i="4"/>
  <c r="S1035" i="4"/>
  <c r="R1035" i="4"/>
  <c r="S1034" i="4"/>
  <c r="R1034" i="4"/>
  <c r="S1033" i="4"/>
  <c r="R1033" i="4"/>
  <c r="S1032" i="4"/>
  <c r="R1032" i="4"/>
  <c r="S1031" i="4"/>
  <c r="R1031" i="4"/>
  <c r="S1030" i="4"/>
  <c r="R1030" i="4"/>
  <c r="S1029" i="4"/>
  <c r="R1029" i="4"/>
  <c r="S1028" i="4"/>
  <c r="R1028" i="4"/>
  <c r="S1027" i="4"/>
  <c r="R1027" i="4"/>
  <c r="S1026" i="4"/>
  <c r="R1026" i="4"/>
  <c r="S1025" i="4"/>
  <c r="R1025" i="4"/>
  <c r="S1024" i="4"/>
  <c r="R1024" i="4"/>
  <c r="S1023" i="4"/>
  <c r="R1023" i="4"/>
  <c r="S1022" i="4"/>
  <c r="R1022" i="4"/>
  <c r="S1021" i="4"/>
  <c r="R1021" i="4"/>
  <c r="S1020" i="4"/>
  <c r="R1020" i="4"/>
  <c r="S1019" i="4"/>
  <c r="R1019" i="4"/>
  <c r="S1018" i="4"/>
  <c r="R1018" i="4"/>
  <c r="S1017" i="4"/>
  <c r="R1017" i="4"/>
  <c r="S1016" i="4"/>
  <c r="R1016" i="4"/>
  <c r="S1015" i="4"/>
  <c r="R1015" i="4"/>
  <c r="S1014" i="4"/>
  <c r="R1014" i="4"/>
  <c r="S1013" i="4"/>
  <c r="R1013" i="4"/>
  <c r="S1012" i="4"/>
  <c r="R1012" i="4"/>
  <c r="S1011" i="4"/>
  <c r="R1011" i="4"/>
  <c r="S1010" i="4"/>
  <c r="R1010" i="4"/>
  <c r="S1009" i="4"/>
  <c r="R1009" i="4"/>
  <c r="S1008" i="4"/>
  <c r="R1008" i="4"/>
  <c r="S1007" i="4"/>
  <c r="R1007" i="4"/>
  <c r="S1006" i="4"/>
  <c r="R1006" i="4"/>
  <c r="S1005" i="4"/>
  <c r="R1005" i="4"/>
  <c r="S1004" i="4"/>
  <c r="R1004" i="4"/>
  <c r="S1003" i="4"/>
  <c r="R1003" i="4"/>
  <c r="S1002" i="4"/>
  <c r="R1002" i="4"/>
  <c r="S1001" i="4"/>
  <c r="R1001" i="4"/>
  <c r="S1000" i="4"/>
  <c r="R1000" i="4"/>
  <c r="S999" i="4"/>
  <c r="R999" i="4"/>
  <c r="S998" i="4"/>
  <c r="R998" i="4"/>
  <c r="S997" i="4"/>
  <c r="R997" i="4"/>
  <c r="S996" i="4"/>
  <c r="R996" i="4"/>
  <c r="S995" i="4"/>
  <c r="R995" i="4"/>
  <c r="S994" i="4"/>
  <c r="R994" i="4"/>
  <c r="S993" i="4"/>
  <c r="R993" i="4"/>
  <c r="S992" i="4"/>
  <c r="R992" i="4"/>
  <c r="S991" i="4"/>
  <c r="R991" i="4"/>
  <c r="S990" i="4"/>
  <c r="R990" i="4"/>
  <c r="S989" i="4"/>
  <c r="R989" i="4"/>
  <c r="S988" i="4"/>
  <c r="R988" i="4"/>
  <c r="S987" i="4"/>
  <c r="R987" i="4"/>
  <c r="S986" i="4"/>
  <c r="R986" i="4"/>
  <c r="S985" i="4"/>
  <c r="R985" i="4"/>
  <c r="S984" i="4"/>
  <c r="R984" i="4"/>
  <c r="S983" i="4"/>
  <c r="R983" i="4"/>
  <c r="S982" i="4"/>
  <c r="R982" i="4"/>
  <c r="S981" i="4"/>
  <c r="R981" i="4"/>
  <c r="S980" i="4"/>
  <c r="R980" i="4"/>
  <c r="S979" i="4"/>
  <c r="R979" i="4"/>
  <c r="S978" i="4"/>
  <c r="R978" i="4"/>
  <c r="S977" i="4"/>
  <c r="R977" i="4"/>
  <c r="S976" i="4"/>
  <c r="R976" i="4"/>
  <c r="S975" i="4"/>
  <c r="R975" i="4"/>
  <c r="S974" i="4"/>
  <c r="R974" i="4"/>
  <c r="S973" i="4"/>
  <c r="R973" i="4"/>
  <c r="S972" i="4"/>
  <c r="R972" i="4"/>
  <c r="S971" i="4"/>
  <c r="R971" i="4"/>
  <c r="S970" i="4"/>
  <c r="R970" i="4"/>
  <c r="S969" i="4"/>
  <c r="R969" i="4"/>
  <c r="S968" i="4"/>
  <c r="R968" i="4"/>
  <c r="S967" i="4"/>
  <c r="R967" i="4"/>
  <c r="S966" i="4"/>
  <c r="R966" i="4"/>
  <c r="S965" i="4"/>
  <c r="R965" i="4"/>
  <c r="S964" i="4"/>
  <c r="R964" i="4"/>
  <c r="S963" i="4"/>
  <c r="R963" i="4"/>
  <c r="S962" i="4"/>
  <c r="R962" i="4"/>
  <c r="S961" i="4"/>
  <c r="R961" i="4"/>
  <c r="S960" i="4"/>
  <c r="R960" i="4"/>
  <c r="S959" i="4"/>
  <c r="R959" i="4"/>
  <c r="S958" i="4"/>
  <c r="R958" i="4"/>
  <c r="S957" i="4"/>
  <c r="R957" i="4"/>
  <c r="S956" i="4"/>
  <c r="R956" i="4"/>
  <c r="S955" i="4"/>
  <c r="R955" i="4"/>
  <c r="S954" i="4"/>
  <c r="R954" i="4"/>
  <c r="S953" i="4"/>
  <c r="R953" i="4"/>
  <c r="S952" i="4"/>
  <c r="R952" i="4"/>
  <c r="S951" i="4"/>
  <c r="R951" i="4"/>
  <c r="S950" i="4"/>
  <c r="R950" i="4"/>
  <c r="S949" i="4"/>
  <c r="R949" i="4"/>
  <c r="S948" i="4"/>
  <c r="R948" i="4"/>
  <c r="S947" i="4"/>
  <c r="R947" i="4"/>
  <c r="S946" i="4"/>
  <c r="R946" i="4"/>
  <c r="S945" i="4"/>
  <c r="R945" i="4"/>
  <c r="S944" i="4"/>
  <c r="R944" i="4"/>
  <c r="S943" i="4"/>
  <c r="R943" i="4"/>
  <c r="S942" i="4"/>
  <c r="R942" i="4"/>
  <c r="S941" i="4"/>
  <c r="R941" i="4"/>
  <c r="S940" i="4"/>
  <c r="R940" i="4"/>
  <c r="S939" i="4"/>
  <c r="R939" i="4"/>
  <c r="S938" i="4"/>
  <c r="R938" i="4"/>
  <c r="S937" i="4"/>
  <c r="R937" i="4"/>
  <c r="S936" i="4"/>
  <c r="R936" i="4"/>
  <c r="S935" i="4"/>
  <c r="R935" i="4"/>
  <c r="S934" i="4"/>
  <c r="R934" i="4"/>
  <c r="S933" i="4"/>
  <c r="R933" i="4"/>
  <c r="S932" i="4"/>
  <c r="R932" i="4"/>
  <c r="S931" i="4"/>
  <c r="R931" i="4"/>
  <c r="S930" i="4"/>
  <c r="R930" i="4"/>
  <c r="S929" i="4"/>
  <c r="R929" i="4"/>
  <c r="S928" i="4"/>
  <c r="R928" i="4"/>
  <c r="S927" i="4"/>
  <c r="R927" i="4"/>
  <c r="S926" i="4"/>
  <c r="R926" i="4"/>
  <c r="S925" i="4"/>
  <c r="R925" i="4"/>
  <c r="S924" i="4"/>
  <c r="R924" i="4"/>
  <c r="S923" i="4"/>
  <c r="R923" i="4"/>
  <c r="S922" i="4"/>
  <c r="R922" i="4"/>
  <c r="S921" i="4"/>
  <c r="R921" i="4"/>
  <c r="S920" i="4"/>
  <c r="R920" i="4"/>
  <c r="S919" i="4"/>
  <c r="R919" i="4"/>
  <c r="S918" i="4"/>
  <c r="R918" i="4"/>
  <c r="S917" i="4"/>
  <c r="R917" i="4"/>
  <c r="S916" i="4"/>
  <c r="R916" i="4"/>
  <c r="S915" i="4"/>
  <c r="R915" i="4"/>
  <c r="S914" i="4"/>
  <c r="R914" i="4"/>
  <c r="S913" i="4"/>
  <c r="R913" i="4"/>
  <c r="S912" i="4"/>
  <c r="R912" i="4"/>
  <c r="S911" i="4"/>
  <c r="R911" i="4"/>
  <c r="S910" i="4"/>
  <c r="R910" i="4"/>
  <c r="S909" i="4"/>
  <c r="R909" i="4"/>
  <c r="S908" i="4"/>
  <c r="R908" i="4"/>
  <c r="S907" i="4"/>
  <c r="R907" i="4"/>
  <c r="S906" i="4"/>
  <c r="R906" i="4"/>
  <c r="S905" i="4"/>
  <c r="R905" i="4"/>
  <c r="S904" i="4"/>
  <c r="R904" i="4"/>
  <c r="S903" i="4"/>
  <c r="R903" i="4"/>
  <c r="S902" i="4"/>
  <c r="R902" i="4"/>
  <c r="S901" i="4"/>
  <c r="R901" i="4"/>
  <c r="S900" i="4"/>
  <c r="R900" i="4"/>
  <c r="S899" i="4"/>
  <c r="R899" i="4"/>
  <c r="S898" i="4"/>
  <c r="R898" i="4"/>
  <c r="S897" i="4"/>
  <c r="R897" i="4"/>
  <c r="S896" i="4"/>
  <c r="R896" i="4"/>
  <c r="S895" i="4"/>
  <c r="R895" i="4"/>
  <c r="S894" i="4"/>
  <c r="R894" i="4"/>
  <c r="S893" i="4"/>
  <c r="R893" i="4"/>
  <c r="S892" i="4"/>
  <c r="R892" i="4"/>
  <c r="S891" i="4"/>
  <c r="R891" i="4"/>
  <c r="S890" i="4"/>
  <c r="R890" i="4"/>
  <c r="S889" i="4"/>
  <c r="R889" i="4"/>
  <c r="S888" i="4"/>
  <c r="R888" i="4"/>
  <c r="S887" i="4"/>
  <c r="R887" i="4"/>
  <c r="S886" i="4"/>
  <c r="R886" i="4"/>
  <c r="S885" i="4"/>
  <c r="R885" i="4"/>
  <c r="S884" i="4"/>
  <c r="R884" i="4"/>
  <c r="S883" i="4"/>
  <c r="R883" i="4"/>
  <c r="S882" i="4"/>
  <c r="R882" i="4"/>
  <c r="S881" i="4"/>
  <c r="R881" i="4"/>
  <c r="S880" i="4"/>
  <c r="R880" i="4"/>
  <c r="S879" i="4"/>
  <c r="R879" i="4"/>
  <c r="S878" i="4"/>
  <c r="R878" i="4"/>
  <c r="S877" i="4"/>
  <c r="R877" i="4"/>
  <c r="S876" i="4"/>
  <c r="R876" i="4"/>
  <c r="S875" i="4"/>
  <c r="R875" i="4"/>
  <c r="S874" i="4"/>
  <c r="R874" i="4"/>
  <c r="S873" i="4"/>
  <c r="R873" i="4"/>
  <c r="S872" i="4"/>
  <c r="R872" i="4"/>
  <c r="S871" i="4"/>
  <c r="R871" i="4"/>
  <c r="S870" i="4"/>
  <c r="R870" i="4"/>
  <c r="S869" i="4"/>
  <c r="R869" i="4"/>
  <c r="S868" i="4"/>
  <c r="R868" i="4"/>
  <c r="S867" i="4"/>
  <c r="R867" i="4"/>
  <c r="S866" i="4"/>
  <c r="R866" i="4"/>
  <c r="S865" i="4"/>
  <c r="R865" i="4"/>
  <c r="S864" i="4"/>
  <c r="R864" i="4"/>
  <c r="S863" i="4"/>
  <c r="R863" i="4"/>
  <c r="S862" i="4"/>
  <c r="R862" i="4"/>
  <c r="S861" i="4"/>
  <c r="R861" i="4"/>
  <c r="S860" i="4"/>
  <c r="R860" i="4"/>
  <c r="S859" i="4"/>
  <c r="R859" i="4"/>
  <c r="S858" i="4"/>
  <c r="R858" i="4"/>
  <c r="S857" i="4"/>
  <c r="R857" i="4"/>
  <c r="S856" i="4"/>
  <c r="R856" i="4"/>
  <c r="S855" i="4"/>
  <c r="R855" i="4"/>
  <c r="S854" i="4"/>
  <c r="R854" i="4"/>
  <c r="S853" i="4"/>
  <c r="R853" i="4"/>
  <c r="S852" i="4"/>
  <c r="R852" i="4"/>
  <c r="S851" i="4"/>
  <c r="R851" i="4"/>
  <c r="S850" i="4"/>
  <c r="R850" i="4"/>
  <c r="S849" i="4"/>
  <c r="R849" i="4"/>
  <c r="S848" i="4"/>
  <c r="R848" i="4"/>
  <c r="S847" i="4"/>
  <c r="R847" i="4"/>
  <c r="S846" i="4"/>
  <c r="R846" i="4"/>
  <c r="S845" i="4"/>
  <c r="R845" i="4"/>
  <c r="S844" i="4"/>
  <c r="R844" i="4"/>
  <c r="S843" i="4"/>
  <c r="R843" i="4"/>
  <c r="S842" i="4"/>
  <c r="R842" i="4"/>
  <c r="S841" i="4"/>
  <c r="R841" i="4"/>
  <c r="S840" i="4"/>
  <c r="R840" i="4"/>
  <c r="S839" i="4"/>
  <c r="R839" i="4"/>
  <c r="S838" i="4"/>
  <c r="R838" i="4"/>
  <c r="S837" i="4"/>
  <c r="R837" i="4"/>
  <c r="S836" i="4"/>
  <c r="R836" i="4"/>
  <c r="S835" i="4"/>
  <c r="R835" i="4"/>
  <c r="S834" i="4"/>
  <c r="R834" i="4"/>
  <c r="S833" i="4"/>
  <c r="R833" i="4"/>
  <c r="S832" i="4"/>
  <c r="R832" i="4"/>
  <c r="S831" i="4"/>
  <c r="R831" i="4"/>
  <c r="S830" i="4"/>
  <c r="R830" i="4"/>
  <c r="S829" i="4"/>
  <c r="R829" i="4"/>
  <c r="S828" i="4"/>
  <c r="R828" i="4"/>
  <c r="S827" i="4"/>
  <c r="R827" i="4"/>
  <c r="S826" i="4"/>
  <c r="R826" i="4"/>
  <c r="S825" i="4"/>
  <c r="R825" i="4"/>
  <c r="S824" i="4"/>
  <c r="R824" i="4"/>
  <c r="S823" i="4"/>
  <c r="R823" i="4"/>
  <c r="S822" i="4"/>
  <c r="R822" i="4"/>
  <c r="S821" i="4"/>
  <c r="R821" i="4"/>
  <c r="S820" i="4"/>
  <c r="R820" i="4"/>
  <c r="S819" i="4"/>
  <c r="R819" i="4"/>
  <c r="S818" i="4"/>
  <c r="R818" i="4"/>
  <c r="S817" i="4"/>
  <c r="R817" i="4"/>
  <c r="S816" i="4"/>
  <c r="R816" i="4"/>
  <c r="S815" i="4"/>
  <c r="R815" i="4"/>
  <c r="S814" i="4"/>
  <c r="R814" i="4"/>
  <c r="S813" i="4"/>
  <c r="R813" i="4"/>
  <c r="S812" i="4"/>
  <c r="R812" i="4"/>
  <c r="S811" i="4"/>
  <c r="R811" i="4"/>
  <c r="S810" i="4"/>
  <c r="R810" i="4"/>
  <c r="S809" i="4"/>
  <c r="R809" i="4"/>
  <c r="S808" i="4"/>
  <c r="R808" i="4"/>
  <c r="S807" i="4"/>
  <c r="R807" i="4"/>
  <c r="S806" i="4"/>
  <c r="R806" i="4"/>
  <c r="S805" i="4"/>
  <c r="R805" i="4"/>
  <c r="S804" i="4"/>
  <c r="R804" i="4"/>
  <c r="S803" i="4"/>
  <c r="R803" i="4"/>
  <c r="S802" i="4"/>
  <c r="R802" i="4"/>
  <c r="S801" i="4"/>
  <c r="R801" i="4"/>
  <c r="S800" i="4"/>
  <c r="R800" i="4"/>
  <c r="S799" i="4"/>
  <c r="R799" i="4"/>
  <c r="S798" i="4"/>
  <c r="R798" i="4"/>
  <c r="S797" i="4"/>
  <c r="R797" i="4"/>
  <c r="S796" i="4"/>
  <c r="R796" i="4"/>
  <c r="S795" i="4"/>
  <c r="R795" i="4"/>
  <c r="S794" i="4"/>
  <c r="R794" i="4"/>
  <c r="S793" i="4"/>
  <c r="R793" i="4"/>
  <c r="S792" i="4"/>
  <c r="R792" i="4"/>
  <c r="S791" i="4"/>
  <c r="R791" i="4"/>
  <c r="S790" i="4"/>
  <c r="R790" i="4"/>
  <c r="S789" i="4"/>
  <c r="R789" i="4"/>
  <c r="S788" i="4"/>
  <c r="R788" i="4"/>
  <c r="S787" i="4"/>
  <c r="R787" i="4"/>
  <c r="S786" i="4"/>
  <c r="R786" i="4"/>
  <c r="S785" i="4"/>
  <c r="R785" i="4"/>
  <c r="S784" i="4"/>
  <c r="R784" i="4"/>
  <c r="S783" i="4"/>
  <c r="R783" i="4"/>
  <c r="S782" i="4"/>
  <c r="R782" i="4"/>
  <c r="S781" i="4"/>
  <c r="R781" i="4"/>
  <c r="S780" i="4"/>
  <c r="R780" i="4"/>
  <c r="S779" i="4"/>
  <c r="R779" i="4"/>
  <c r="S778" i="4"/>
  <c r="R778" i="4"/>
  <c r="S777" i="4"/>
  <c r="R777" i="4"/>
  <c r="S776" i="4"/>
  <c r="R776" i="4"/>
  <c r="S775" i="4"/>
  <c r="R775" i="4"/>
  <c r="S774" i="4"/>
  <c r="R774" i="4"/>
  <c r="S773" i="4"/>
  <c r="R773" i="4"/>
  <c r="S772" i="4"/>
  <c r="R772" i="4"/>
  <c r="S771" i="4"/>
  <c r="R771" i="4"/>
  <c r="S770" i="4"/>
  <c r="R770" i="4"/>
  <c r="S769" i="4"/>
  <c r="R769" i="4"/>
  <c r="S768" i="4"/>
  <c r="R768" i="4"/>
  <c r="S767" i="4"/>
  <c r="R767" i="4"/>
  <c r="S766" i="4"/>
  <c r="R766" i="4"/>
  <c r="S765" i="4"/>
  <c r="R765" i="4"/>
  <c r="S764" i="4"/>
  <c r="R764" i="4"/>
  <c r="S763" i="4"/>
  <c r="R763" i="4"/>
  <c r="S762" i="4"/>
  <c r="R762" i="4"/>
  <c r="S761" i="4"/>
  <c r="R761" i="4"/>
  <c r="S760" i="4"/>
  <c r="R760" i="4"/>
  <c r="S759" i="4"/>
  <c r="R759" i="4"/>
  <c r="S758" i="4"/>
  <c r="R758" i="4"/>
  <c r="S757" i="4"/>
  <c r="R757" i="4"/>
  <c r="S756" i="4"/>
  <c r="R756" i="4"/>
  <c r="S755" i="4"/>
  <c r="R755" i="4"/>
  <c r="S754" i="4"/>
  <c r="R754" i="4"/>
  <c r="S753" i="4"/>
  <c r="R753" i="4"/>
  <c r="S752" i="4"/>
  <c r="R752" i="4"/>
  <c r="S751" i="4"/>
  <c r="R751" i="4"/>
  <c r="S750" i="4"/>
  <c r="R750" i="4"/>
  <c r="S749" i="4"/>
  <c r="R749" i="4"/>
  <c r="S748" i="4"/>
  <c r="R748" i="4"/>
  <c r="S747" i="4"/>
  <c r="R747" i="4"/>
  <c r="S746" i="4"/>
  <c r="R746" i="4"/>
  <c r="S745" i="4"/>
  <c r="R745" i="4"/>
  <c r="S744" i="4"/>
  <c r="R744" i="4"/>
  <c r="S743" i="4"/>
  <c r="R743" i="4"/>
  <c r="S742" i="4"/>
  <c r="R742" i="4"/>
  <c r="S741" i="4"/>
  <c r="R741" i="4"/>
  <c r="S740" i="4"/>
  <c r="R740" i="4"/>
  <c r="S739" i="4"/>
  <c r="R739" i="4"/>
  <c r="S738" i="4"/>
  <c r="R738" i="4"/>
  <c r="S737" i="4"/>
  <c r="R737" i="4"/>
  <c r="S736" i="4"/>
  <c r="R736" i="4"/>
  <c r="S735" i="4"/>
  <c r="R735" i="4"/>
  <c r="S734" i="4"/>
  <c r="R734" i="4"/>
  <c r="S733" i="4"/>
  <c r="R733" i="4"/>
  <c r="S732" i="4"/>
  <c r="R732" i="4"/>
  <c r="S731" i="4"/>
  <c r="R731" i="4"/>
  <c r="S730" i="4"/>
  <c r="R730" i="4"/>
  <c r="S729" i="4"/>
  <c r="R729" i="4"/>
  <c r="S728" i="4"/>
  <c r="R728" i="4"/>
  <c r="S727" i="4"/>
  <c r="R727" i="4"/>
  <c r="S726" i="4"/>
  <c r="R726" i="4"/>
  <c r="S725" i="4"/>
  <c r="R725" i="4"/>
  <c r="S724" i="4"/>
  <c r="R724" i="4"/>
  <c r="S723" i="4"/>
  <c r="R723" i="4"/>
  <c r="S722" i="4"/>
  <c r="R722" i="4"/>
  <c r="S721" i="4"/>
  <c r="R721" i="4"/>
  <c r="S720" i="4"/>
  <c r="R720" i="4"/>
  <c r="S719" i="4"/>
  <c r="R719" i="4"/>
  <c r="S718" i="4"/>
  <c r="R718" i="4"/>
  <c r="S717" i="4"/>
  <c r="R717" i="4"/>
  <c r="S716" i="4"/>
  <c r="R716" i="4"/>
  <c r="S715" i="4"/>
  <c r="R715" i="4"/>
  <c r="S714" i="4"/>
  <c r="R714" i="4"/>
  <c r="S713" i="4"/>
  <c r="R713" i="4"/>
  <c r="S712" i="4"/>
  <c r="R712" i="4"/>
  <c r="S711" i="4"/>
  <c r="R711" i="4"/>
  <c r="S710" i="4"/>
  <c r="R710" i="4"/>
  <c r="S709" i="4"/>
  <c r="R709" i="4"/>
  <c r="S708" i="4"/>
  <c r="R708" i="4"/>
  <c r="S707" i="4"/>
  <c r="R707" i="4"/>
  <c r="S706" i="4"/>
  <c r="R706" i="4"/>
  <c r="S705" i="4"/>
  <c r="R705" i="4"/>
  <c r="S704" i="4"/>
  <c r="R704" i="4"/>
  <c r="S703" i="4"/>
  <c r="R703" i="4"/>
  <c r="S702" i="4"/>
  <c r="R702" i="4"/>
  <c r="S701" i="4"/>
  <c r="R701" i="4"/>
  <c r="S700" i="4"/>
  <c r="R700" i="4"/>
  <c r="S699" i="4"/>
  <c r="R699" i="4"/>
  <c r="S698" i="4"/>
  <c r="R698" i="4"/>
  <c r="S697" i="4"/>
  <c r="R697" i="4"/>
  <c r="S696" i="4"/>
  <c r="R696" i="4"/>
  <c r="S695" i="4"/>
  <c r="R695" i="4"/>
  <c r="S694" i="4"/>
  <c r="R694" i="4"/>
  <c r="S693" i="4"/>
  <c r="R693" i="4"/>
  <c r="S692" i="4"/>
  <c r="R692" i="4"/>
  <c r="S691" i="4"/>
  <c r="R691" i="4"/>
  <c r="S690" i="4"/>
  <c r="R690" i="4"/>
  <c r="S689" i="4"/>
  <c r="R689" i="4"/>
  <c r="S688" i="4"/>
  <c r="R688" i="4"/>
  <c r="S687" i="4"/>
  <c r="R687" i="4"/>
  <c r="S686" i="4"/>
  <c r="R686" i="4"/>
  <c r="S685" i="4"/>
  <c r="R685" i="4"/>
  <c r="S684" i="4"/>
  <c r="R684" i="4"/>
  <c r="S683" i="4"/>
  <c r="R683" i="4"/>
  <c r="S682" i="4"/>
  <c r="R682" i="4"/>
  <c r="S681" i="4"/>
  <c r="R681" i="4"/>
  <c r="S680" i="4"/>
  <c r="R680" i="4"/>
  <c r="S679" i="4"/>
  <c r="R679" i="4"/>
  <c r="S678" i="4"/>
  <c r="R678" i="4"/>
  <c r="S677" i="4"/>
  <c r="R677" i="4"/>
  <c r="S676" i="4"/>
  <c r="R676" i="4"/>
  <c r="S675" i="4"/>
  <c r="R675" i="4"/>
  <c r="S674" i="4"/>
  <c r="R674" i="4"/>
  <c r="S673" i="4"/>
  <c r="R673" i="4"/>
  <c r="S672" i="4"/>
  <c r="R672" i="4"/>
  <c r="S671" i="4"/>
  <c r="R671" i="4"/>
  <c r="S670" i="4"/>
  <c r="R670" i="4"/>
  <c r="S669" i="4"/>
  <c r="R669" i="4"/>
  <c r="S668" i="4"/>
  <c r="R668" i="4"/>
  <c r="S667" i="4"/>
  <c r="R667" i="4"/>
  <c r="S666" i="4"/>
  <c r="R666" i="4"/>
  <c r="S665" i="4"/>
  <c r="R665" i="4"/>
  <c r="S664" i="4"/>
  <c r="R664" i="4"/>
  <c r="S663" i="4"/>
  <c r="R663" i="4"/>
  <c r="S662" i="4"/>
  <c r="R662" i="4"/>
  <c r="S661" i="4"/>
  <c r="R661" i="4"/>
  <c r="S660" i="4"/>
  <c r="R660" i="4"/>
  <c r="S659" i="4"/>
  <c r="R659" i="4"/>
  <c r="S658" i="4"/>
  <c r="R658" i="4"/>
  <c r="S657" i="4"/>
  <c r="R657" i="4"/>
  <c r="S656" i="4"/>
  <c r="R656" i="4"/>
  <c r="S655" i="4"/>
  <c r="R655" i="4"/>
  <c r="S654" i="4"/>
  <c r="R654" i="4"/>
  <c r="S653" i="4"/>
  <c r="R653" i="4"/>
  <c r="S652" i="4"/>
  <c r="R652" i="4"/>
  <c r="S651" i="4"/>
  <c r="R651" i="4"/>
  <c r="S650" i="4"/>
  <c r="R650" i="4"/>
  <c r="S649" i="4"/>
  <c r="R649" i="4"/>
  <c r="S648" i="4"/>
  <c r="R648" i="4"/>
  <c r="S647" i="4"/>
  <c r="R647" i="4"/>
  <c r="S646" i="4"/>
  <c r="R646" i="4"/>
  <c r="S645" i="4"/>
  <c r="R645" i="4"/>
  <c r="S644" i="4"/>
  <c r="R644" i="4"/>
  <c r="S643" i="4"/>
  <c r="R643" i="4"/>
  <c r="S642" i="4"/>
  <c r="R642" i="4"/>
  <c r="S641" i="4"/>
  <c r="R641" i="4"/>
  <c r="S640" i="4"/>
  <c r="R640" i="4"/>
  <c r="S639" i="4"/>
  <c r="R639" i="4"/>
  <c r="S638" i="4"/>
  <c r="R638" i="4"/>
  <c r="S637" i="4"/>
  <c r="R637" i="4"/>
  <c r="S636" i="4"/>
  <c r="R636" i="4"/>
  <c r="S635" i="4"/>
  <c r="R635" i="4"/>
  <c r="S634" i="4"/>
  <c r="R634" i="4"/>
  <c r="S633" i="4"/>
  <c r="R633" i="4"/>
  <c r="S632" i="4"/>
  <c r="R632" i="4"/>
  <c r="S631" i="4"/>
  <c r="R631" i="4"/>
  <c r="S630" i="4"/>
  <c r="R630" i="4"/>
  <c r="S629" i="4"/>
  <c r="R629" i="4"/>
  <c r="S628" i="4"/>
  <c r="R628" i="4"/>
  <c r="S627" i="4"/>
  <c r="R627" i="4"/>
  <c r="S626" i="4"/>
  <c r="R626" i="4"/>
  <c r="S625" i="4"/>
  <c r="R625" i="4"/>
  <c r="S624" i="4"/>
  <c r="R624" i="4"/>
  <c r="S623" i="4"/>
  <c r="R623" i="4"/>
  <c r="S622" i="4"/>
  <c r="R622" i="4"/>
  <c r="S621" i="4"/>
  <c r="R621" i="4"/>
  <c r="S620" i="4"/>
  <c r="R620" i="4"/>
  <c r="S619" i="4"/>
  <c r="R619" i="4"/>
  <c r="S618" i="4"/>
  <c r="R618" i="4"/>
  <c r="S617" i="4"/>
  <c r="R617" i="4"/>
  <c r="S616" i="4"/>
  <c r="R616" i="4"/>
  <c r="S615" i="4"/>
  <c r="R615" i="4"/>
  <c r="S614" i="4"/>
  <c r="R614" i="4"/>
  <c r="S613" i="4"/>
  <c r="R613" i="4"/>
  <c r="S612" i="4"/>
  <c r="R612" i="4"/>
  <c r="S611" i="4"/>
  <c r="R611" i="4"/>
  <c r="S610" i="4"/>
  <c r="R610" i="4"/>
  <c r="S609" i="4"/>
  <c r="R609" i="4"/>
  <c r="S608" i="4"/>
  <c r="R608" i="4"/>
  <c r="S607" i="4"/>
  <c r="R607" i="4"/>
  <c r="S606" i="4"/>
  <c r="R606" i="4"/>
  <c r="S605" i="4"/>
  <c r="R605" i="4"/>
  <c r="S604" i="4"/>
  <c r="R604" i="4"/>
  <c r="S603" i="4"/>
  <c r="R603" i="4"/>
  <c r="S602" i="4"/>
  <c r="R602" i="4"/>
  <c r="S601" i="4"/>
  <c r="R601" i="4"/>
  <c r="S600" i="4"/>
  <c r="R600" i="4"/>
  <c r="S599" i="4"/>
  <c r="R599" i="4"/>
  <c r="S598" i="4"/>
  <c r="R598" i="4"/>
  <c r="S597" i="4"/>
  <c r="R597" i="4"/>
  <c r="S596" i="4"/>
  <c r="R596" i="4"/>
  <c r="S595" i="4"/>
  <c r="R595" i="4"/>
  <c r="S594" i="4"/>
  <c r="R594" i="4"/>
  <c r="S593" i="4"/>
  <c r="R593" i="4"/>
  <c r="S592" i="4"/>
  <c r="R592" i="4"/>
  <c r="S591" i="4"/>
  <c r="R591" i="4"/>
  <c r="S590" i="4"/>
  <c r="R590" i="4"/>
  <c r="S589" i="4"/>
  <c r="R589" i="4"/>
  <c r="S588" i="4"/>
  <c r="R588" i="4"/>
  <c r="S587" i="4"/>
  <c r="R587" i="4"/>
  <c r="S586" i="4"/>
  <c r="R586" i="4"/>
  <c r="S585" i="4"/>
  <c r="R585" i="4"/>
  <c r="S584" i="4"/>
  <c r="R584" i="4"/>
  <c r="S583" i="4"/>
  <c r="R583" i="4"/>
  <c r="S582" i="4"/>
  <c r="R582" i="4"/>
  <c r="S581" i="4"/>
  <c r="R581" i="4"/>
  <c r="S580" i="4"/>
  <c r="R580" i="4"/>
  <c r="S579" i="4"/>
  <c r="R579" i="4"/>
  <c r="S578" i="4"/>
  <c r="R578" i="4"/>
  <c r="S577" i="4"/>
  <c r="R577" i="4"/>
  <c r="S576" i="4"/>
  <c r="R576" i="4"/>
  <c r="S575" i="4"/>
  <c r="R575" i="4"/>
  <c r="S574" i="4"/>
  <c r="R574" i="4"/>
  <c r="S573" i="4"/>
  <c r="R573" i="4"/>
  <c r="S572" i="4"/>
  <c r="R572" i="4"/>
  <c r="S571" i="4"/>
  <c r="R571" i="4"/>
  <c r="S570" i="4"/>
  <c r="R570" i="4"/>
  <c r="S569" i="4"/>
  <c r="R569" i="4"/>
  <c r="S568" i="4"/>
  <c r="R568" i="4"/>
  <c r="S567" i="4"/>
  <c r="R567" i="4"/>
  <c r="S566" i="4"/>
  <c r="R566" i="4"/>
  <c r="S565" i="4"/>
  <c r="R565" i="4"/>
  <c r="S564" i="4"/>
  <c r="R564" i="4"/>
  <c r="S563" i="4"/>
  <c r="R563" i="4"/>
  <c r="S562" i="4"/>
  <c r="R562" i="4"/>
  <c r="S561" i="4"/>
  <c r="R561" i="4"/>
  <c r="S560" i="4"/>
  <c r="R560" i="4"/>
  <c r="S559" i="4"/>
  <c r="R559" i="4"/>
  <c r="S558" i="4"/>
  <c r="R558" i="4"/>
  <c r="S557" i="4"/>
  <c r="R557" i="4"/>
  <c r="S556" i="4"/>
  <c r="R556" i="4"/>
  <c r="S555" i="4"/>
  <c r="R555" i="4"/>
  <c r="S554" i="4"/>
  <c r="R554" i="4"/>
  <c r="S553" i="4"/>
  <c r="R553" i="4"/>
  <c r="S552" i="4"/>
  <c r="R552" i="4"/>
  <c r="S551" i="4"/>
  <c r="R551" i="4"/>
  <c r="S550" i="4"/>
  <c r="R550" i="4"/>
  <c r="S549" i="4"/>
  <c r="R549" i="4"/>
  <c r="S548" i="4"/>
  <c r="R548" i="4"/>
  <c r="S547" i="4"/>
  <c r="R547" i="4"/>
  <c r="S546" i="4"/>
  <c r="R546" i="4"/>
  <c r="S545" i="4"/>
  <c r="R545" i="4"/>
  <c r="S544" i="4"/>
  <c r="R544" i="4"/>
  <c r="S543" i="4"/>
  <c r="R543" i="4"/>
  <c r="S542" i="4"/>
  <c r="R542" i="4"/>
  <c r="S541" i="4"/>
  <c r="R541" i="4"/>
  <c r="S540" i="4"/>
  <c r="R540" i="4"/>
  <c r="S539" i="4"/>
  <c r="R539" i="4"/>
  <c r="S538" i="4"/>
  <c r="R538" i="4"/>
  <c r="S537" i="4"/>
  <c r="R537" i="4"/>
  <c r="S536" i="4"/>
  <c r="R536" i="4"/>
  <c r="S535" i="4"/>
  <c r="R535" i="4"/>
  <c r="S534" i="4"/>
  <c r="R534" i="4"/>
  <c r="S533" i="4"/>
  <c r="R533" i="4"/>
  <c r="S532" i="4"/>
  <c r="R532" i="4"/>
  <c r="S531" i="4"/>
  <c r="R531" i="4"/>
  <c r="S530" i="4"/>
  <c r="R530" i="4"/>
  <c r="S529" i="4"/>
  <c r="R529" i="4"/>
  <c r="S528" i="4"/>
  <c r="R528" i="4"/>
  <c r="S527" i="4"/>
  <c r="R527" i="4"/>
  <c r="S526" i="4"/>
  <c r="R526" i="4"/>
  <c r="S525" i="4"/>
  <c r="R525" i="4"/>
  <c r="S524" i="4"/>
  <c r="R524" i="4"/>
  <c r="S523" i="4"/>
  <c r="R523" i="4"/>
  <c r="S522" i="4"/>
  <c r="R522" i="4"/>
  <c r="S521" i="4"/>
  <c r="R521" i="4"/>
  <c r="S520" i="4"/>
  <c r="R520" i="4"/>
  <c r="S519" i="4"/>
  <c r="R519" i="4"/>
  <c r="S518" i="4"/>
  <c r="R518" i="4"/>
  <c r="S517" i="4"/>
  <c r="R517" i="4"/>
  <c r="S516" i="4"/>
  <c r="R516" i="4"/>
  <c r="S515" i="4"/>
  <c r="R515" i="4"/>
  <c r="S514" i="4"/>
  <c r="R514" i="4"/>
  <c r="S513" i="4"/>
  <c r="R513" i="4"/>
  <c r="S512" i="4"/>
  <c r="R512" i="4"/>
  <c r="S511" i="4"/>
  <c r="R511" i="4"/>
  <c r="S510" i="4"/>
  <c r="R510" i="4"/>
  <c r="S509" i="4"/>
  <c r="R509" i="4"/>
  <c r="S508" i="4"/>
  <c r="R508" i="4"/>
  <c r="S507" i="4"/>
  <c r="R507" i="4"/>
  <c r="S506" i="4"/>
  <c r="R506" i="4"/>
  <c r="S505" i="4"/>
  <c r="R505" i="4"/>
  <c r="S504" i="4"/>
  <c r="R504" i="4"/>
  <c r="S503" i="4"/>
  <c r="R503" i="4"/>
  <c r="S502" i="4"/>
  <c r="R502" i="4"/>
  <c r="S501" i="4"/>
  <c r="R501" i="4"/>
  <c r="S500" i="4"/>
  <c r="R500" i="4"/>
  <c r="S499" i="4"/>
  <c r="R499" i="4"/>
  <c r="S498" i="4"/>
  <c r="R498" i="4"/>
  <c r="S497" i="4"/>
  <c r="R497" i="4"/>
  <c r="S496" i="4"/>
  <c r="R496" i="4"/>
  <c r="S495" i="4"/>
  <c r="R495" i="4"/>
  <c r="S494" i="4"/>
  <c r="R494" i="4"/>
  <c r="S493" i="4"/>
  <c r="R493" i="4"/>
  <c r="S492" i="4"/>
  <c r="R492" i="4"/>
  <c r="S491" i="4"/>
  <c r="R491" i="4"/>
  <c r="S490" i="4"/>
  <c r="R490" i="4"/>
  <c r="S489" i="4"/>
  <c r="R489" i="4"/>
  <c r="S488" i="4"/>
  <c r="R488" i="4"/>
  <c r="S487" i="4"/>
  <c r="R487" i="4"/>
  <c r="S486" i="4"/>
  <c r="R486" i="4"/>
  <c r="S485" i="4"/>
  <c r="R485" i="4"/>
  <c r="S484" i="4"/>
  <c r="R484" i="4"/>
  <c r="S483" i="4"/>
  <c r="R483" i="4"/>
  <c r="S482" i="4"/>
  <c r="R482" i="4"/>
  <c r="S481" i="4"/>
  <c r="R481" i="4"/>
  <c r="S480" i="4"/>
  <c r="R480" i="4"/>
  <c r="S479" i="4"/>
  <c r="R479" i="4"/>
  <c r="S478" i="4"/>
  <c r="R478" i="4"/>
  <c r="S477" i="4"/>
  <c r="R477" i="4"/>
  <c r="S476" i="4"/>
  <c r="R476" i="4"/>
  <c r="S475" i="4"/>
  <c r="R475" i="4"/>
  <c r="S474" i="4"/>
  <c r="R474" i="4"/>
  <c r="S473" i="4"/>
  <c r="R473" i="4"/>
  <c r="S472" i="4"/>
  <c r="R472" i="4"/>
  <c r="S471" i="4"/>
  <c r="R471" i="4"/>
  <c r="S470" i="4"/>
  <c r="R470" i="4"/>
  <c r="S469" i="4"/>
  <c r="R469" i="4"/>
  <c r="S468" i="4"/>
  <c r="R468" i="4"/>
  <c r="S467" i="4"/>
  <c r="R467" i="4"/>
  <c r="S466" i="4"/>
  <c r="R466" i="4"/>
  <c r="S465" i="4"/>
  <c r="R465" i="4"/>
  <c r="S464" i="4"/>
  <c r="R464" i="4"/>
  <c r="S463" i="4"/>
  <c r="R463" i="4"/>
  <c r="S462" i="4"/>
  <c r="R462" i="4"/>
  <c r="S461" i="4"/>
  <c r="R461" i="4"/>
  <c r="S460" i="4"/>
  <c r="R460" i="4"/>
  <c r="S459" i="4"/>
  <c r="R459" i="4"/>
  <c r="S458" i="4"/>
  <c r="R458" i="4"/>
  <c r="S457" i="4"/>
  <c r="R457" i="4"/>
  <c r="S456" i="4"/>
  <c r="R456" i="4"/>
  <c r="S455" i="4"/>
  <c r="R455" i="4"/>
  <c r="S454" i="4"/>
  <c r="R454" i="4"/>
  <c r="S453" i="4"/>
  <c r="R453" i="4"/>
  <c r="S452" i="4"/>
  <c r="R452" i="4"/>
  <c r="S451" i="4"/>
  <c r="R451" i="4"/>
  <c r="S450" i="4"/>
  <c r="R450" i="4"/>
  <c r="S449" i="4"/>
  <c r="R449" i="4"/>
  <c r="S448" i="4"/>
  <c r="R448" i="4"/>
  <c r="S447" i="4"/>
  <c r="R447" i="4"/>
  <c r="S446" i="4"/>
  <c r="R446" i="4"/>
  <c r="S445" i="4"/>
  <c r="R445" i="4"/>
  <c r="S444" i="4"/>
  <c r="R444" i="4"/>
  <c r="S443" i="4"/>
  <c r="R443" i="4"/>
  <c r="S442" i="4"/>
  <c r="R442" i="4"/>
  <c r="S441" i="4"/>
  <c r="R441" i="4"/>
  <c r="S440" i="4"/>
  <c r="R440" i="4"/>
  <c r="S439" i="4"/>
  <c r="R439" i="4"/>
  <c r="S438" i="4"/>
  <c r="R438" i="4"/>
  <c r="S437" i="4"/>
  <c r="R437" i="4"/>
  <c r="S436" i="4"/>
  <c r="R436" i="4"/>
  <c r="S435" i="4"/>
  <c r="R435" i="4"/>
  <c r="S434" i="4"/>
  <c r="R434" i="4"/>
  <c r="S433" i="4"/>
  <c r="R433" i="4"/>
  <c r="S432" i="4"/>
  <c r="R432" i="4"/>
  <c r="S431" i="4"/>
  <c r="R431" i="4"/>
  <c r="S430" i="4"/>
  <c r="R430" i="4"/>
  <c r="S429" i="4"/>
  <c r="R429" i="4"/>
  <c r="S428" i="4"/>
  <c r="R428" i="4"/>
  <c r="S427" i="4"/>
  <c r="R427" i="4"/>
  <c r="S426" i="4"/>
  <c r="R426" i="4"/>
  <c r="S425" i="4"/>
  <c r="R425" i="4"/>
  <c r="S424" i="4"/>
  <c r="R424" i="4"/>
  <c r="S423" i="4"/>
  <c r="R423" i="4"/>
  <c r="S422" i="4"/>
  <c r="R422" i="4"/>
  <c r="S421" i="4"/>
  <c r="R421" i="4"/>
  <c r="S420" i="4"/>
  <c r="R420" i="4"/>
  <c r="S419" i="4"/>
  <c r="R419" i="4"/>
  <c r="S418" i="4"/>
  <c r="R418" i="4"/>
  <c r="S417" i="4"/>
  <c r="R417" i="4"/>
  <c r="S416" i="4"/>
  <c r="R416" i="4"/>
  <c r="S415" i="4"/>
  <c r="R415" i="4"/>
  <c r="S414" i="4"/>
  <c r="R414" i="4"/>
  <c r="S413" i="4"/>
  <c r="R413" i="4"/>
  <c r="S412" i="4"/>
  <c r="R412" i="4"/>
  <c r="S411" i="4"/>
  <c r="R411" i="4"/>
  <c r="S410" i="4"/>
  <c r="R410" i="4"/>
  <c r="S409" i="4"/>
  <c r="R409" i="4"/>
  <c r="S408" i="4"/>
  <c r="R408" i="4"/>
  <c r="S407" i="4"/>
  <c r="R407" i="4"/>
  <c r="S406" i="4"/>
  <c r="R406" i="4"/>
  <c r="S405" i="4"/>
  <c r="R405" i="4"/>
  <c r="S404" i="4"/>
  <c r="R404" i="4"/>
  <c r="S403" i="4"/>
  <c r="R403" i="4"/>
  <c r="S402" i="4"/>
  <c r="R402" i="4"/>
  <c r="S401" i="4"/>
  <c r="R401" i="4"/>
  <c r="S400" i="4"/>
  <c r="R400" i="4"/>
  <c r="S399" i="4"/>
  <c r="R399" i="4"/>
  <c r="S398" i="4"/>
  <c r="R398" i="4"/>
  <c r="S397" i="4"/>
  <c r="R397" i="4"/>
  <c r="S396" i="4"/>
  <c r="R396" i="4"/>
  <c r="S395" i="4"/>
  <c r="R395" i="4"/>
  <c r="S394" i="4"/>
  <c r="R394" i="4"/>
  <c r="S393" i="4"/>
  <c r="R393" i="4"/>
  <c r="S392" i="4"/>
  <c r="R392" i="4"/>
  <c r="S391" i="4"/>
  <c r="R391" i="4"/>
  <c r="S390" i="4"/>
  <c r="R390" i="4"/>
  <c r="S389" i="4"/>
  <c r="R389" i="4"/>
  <c r="S388" i="4"/>
  <c r="R388" i="4"/>
  <c r="S387" i="4"/>
  <c r="R387" i="4"/>
  <c r="S386" i="4"/>
  <c r="R386" i="4"/>
  <c r="S385" i="4"/>
  <c r="R385" i="4"/>
  <c r="S384" i="4"/>
  <c r="R384" i="4"/>
  <c r="S383" i="4"/>
  <c r="R383" i="4"/>
  <c r="S382" i="4"/>
  <c r="R382" i="4"/>
  <c r="S381" i="4"/>
  <c r="R381" i="4"/>
  <c r="S380" i="4"/>
  <c r="R380" i="4"/>
  <c r="S379" i="4"/>
  <c r="R379" i="4"/>
  <c r="S378" i="4"/>
  <c r="R378" i="4"/>
  <c r="S377" i="4"/>
  <c r="R377" i="4"/>
  <c r="S376" i="4"/>
  <c r="R376" i="4"/>
  <c r="S375" i="4"/>
  <c r="R375" i="4"/>
  <c r="S374" i="4"/>
  <c r="R374" i="4"/>
  <c r="S373" i="4"/>
  <c r="R373" i="4"/>
  <c r="S372" i="4"/>
  <c r="R372" i="4"/>
  <c r="S371" i="4"/>
  <c r="R371" i="4"/>
  <c r="S370" i="4"/>
  <c r="R370" i="4"/>
  <c r="S369" i="4"/>
  <c r="R369" i="4"/>
  <c r="S368" i="4"/>
  <c r="R368" i="4"/>
  <c r="S367" i="4"/>
  <c r="R367" i="4"/>
  <c r="S366" i="4"/>
  <c r="R366" i="4"/>
  <c r="S365" i="4"/>
  <c r="R365" i="4"/>
  <c r="S364" i="4"/>
  <c r="R364" i="4"/>
  <c r="S363" i="4"/>
  <c r="R363" i="4"/>
  <c r="S362" i="4"/>
  <c r="R362" i="4"/>
  <c r="S361" i="4"/>
  <c r="R361" i="4"/>
  <c r="S360" i="4"/>
  <c r="R360" i="4"/>
  <c r="S359" i="4"/>
  <c r="R359" i="4"/>
  <c r="S358" i="4"/>
  <c r="R358" i="4"/>
  <c r="S357" i="4"/>
  <c r="R357" i="4"/>
  <c r="S356" i="4"/>
  <c r="R356" i="4"/>
  <c r="S355" i="4"/>
  <c r="R355" i="4"/>
  <c r="S354" i="4"/>
  <c r="R354" i="4"/>
  <c r="S353" i="4"/>
  <c r="R353" i="4"/>
  <c r="S352" i="4"/>
  <c r="R352" i="4"/>
  <c r="S351" i="4"/>
  <c r="R351" i="4"/>
  <c r="S350" i="4"/>
  <c r="R350" i="4"/>
  <c r="S349" i="4"/>
  <c r="R349" i="4"/>
  <c r="S348" i="4"/>
  <c r="R348" i="4"/>
  <c r="S347" i="4"/>
  <c r="R347" i="4"/>
  <c r="S346" i="4"/>
  <c r="R346" i="4"/>
  <c r="S345" i="4"/>
  <c r="R345" i="4"/>
  <c r="S344" i="4"/>
  <c r="R344" i="4"/>
  <c r="S343" i="4"/>
  <c r="R343" i="4"/>
  <c r="S342" i="4"/>
  <c r="R342" i="4"/>
  <c r="S341" i="4"/>
  <c r="R341" i="4"/>
  <c r="S340" i="4"/>
  <c r="R340" i="4"/>
  <c r="S339" i="4"/>
  <c r="R339" i="4"/>
  <c r="S338" i="4"/>
  <c r="R338" i="4"/>
  <c r="S337" i="4"/>
  <c r="R337" i="4"/>
  <c r="S336" i="4"/>
  <c r="R336" i="4"/>
  <c r="S335" i="4"/>
  <c r="R335" i="4"/>
  <c r="S334" i="4"/>
  <c r="R334" i="4"/>
  <c r="S333" i="4"/>
  <c r="R333" i="4"/>
  <c r="S332" i="4"/>
  <c r="R332" i="4"/>
  <c r="S331" i="4"/>
  <c r="R331" i="4"/>
  <c r="S330" i="4"/>
  <c r="R330" i="4"/>
  <c r="S329" i="4"/>
  <c r="R329" i="4"/>
  <c r="S328" i="4"/>
  <c r="R328" i="4"/>
  <c r="S327" i="4"/>
  <c r="R327" i="4"/>
  <c r="S326" i="4"/>
  <c r="R326" i="4"/>
  <c r="S325" i="4"/>
  <c r="R325" i="4"/>
  <c r="S324" i="4"/>
  <c r="R324" i="4"/>
  <c r="S323" i="4"/>
  <c r="R323" i="4"/>
  <c r="S322" i="4"/>
  <c r="R322" i="4"/>
  <c r="S321" i="4"/>
  <c r="R321" i="4"/>
  <c r="S320" i="4"/>
  <c r="R320" i="4"/>
  <c r="S319" i="4"/>
  <c r="R319" i="4"/>
  <c r="S318" i="4"/>
  <c r="R318" i="4"/>
  <c r="S317" i="4"/>
  <c r="R317" i="4"/>
  <c r="S316" i="4"/>
  <c r="R316" i="4"/>
  <c r="S315" i="4"/>
  <c r="R315" i="4"/>
  <c r="S314" i="4"/>
  <c r="R314" i="4"/>
  <c r="S313" i="4"/>
  <c r="R313" i="4"/>
  <c r="S312" i="4"/>
  <c r="R312" i="4"/>
  <c r="S311" i="4"/>
  <c r="R311" i="4"/>
  <c r="S310" i="4"/>
  <c r="R310" i="4"/>
  <c r="S309" i="4"/>
  <c r="R309" i="4"/>
  <c r="S308" i="4"/>
  <c r="R308" i="4"/>
  <c r="S307" i="4"/>
  <c r="R307" i="4"/>
  <c r="S306" i="4"/>
  <c r="R306" i="4"/>
  <c r="S305" i="4"/>
  <c r="R305" i="4"/>
  <c r="S304" i="4"/>
  <c r="R304" i="4"/>
  <c r="S303" i="4"/>
  <c r="R303" i="4"/>
  <c r="S302" i="4"/>
  <c r="R302" i="4"/>
  <c r="S301" i="4"/>
  <c r="R301" i="4"/>
  <c r="S300" i="4"/>
  <c r="R300" i="4"/>
  <c r="S299" i="4"/>
  <c r="R299" i="4"/>
  <c r="S298" i="4"/>
  <c r="R298" i="4"/>
  <c r="S297" i="4"/>
  <c r="R297" i="4"/>
  <c r="S296" i="4"/>
  <c r="R296" i="4"/>
  <c r="S295" i="4"/>
  <c r="R295" i="4"/>
  <c r="S294" i="4"/>
  <c r="R294" i="4"/>
  <c r="S293" i="4"/>
  <c r="R293" i="4"/>
  <c r="S292" i="4"/>
  <c r="R292" i="4"/>
  <c r="S291" i="4"/>
  <c r="R291" i="4"/>
  <c r="S290" i="4"/>
  <c r="R290" i="4"/>
  <c r="S289" i="4"/>
  <c r="R289" i="4"/>
  <c r="S288" i="4"/>
  <c r="R288" i="4"/>
  <c r="S287" i="4"/>
  <c r="R287" i="4"/>
  <c r="S286" i="4"/>
  <c r="R286" i="4"/>
  <c r="S285" i="4"/>
  <c r="R285" i="4"/>
  <c r="S284" i="4"/>
  <c r="R284" i="4"/>
  <c r="S283" i="4"/>
  <c r="R283" i="4"/>
  <c r="S282" i="4"/>
  <c r="R282" i="4"/>
  <c r="S281" i="4"/>
  <c r="R281" i="4"/>
  <c r="S280" i="4"/>
  <c r="R280" i="4"/>
  <c r="S279" i="4"/>
  <c r="R279" i="4"/>
  <c r="S278" i="4"/>
  <c r="R278" i="4"/>
  <c r="S277" i="4"/>
  <c r="R277" i="4"/>
  <c r="S276" i="4"/>
  <c r="R276" i="4"/>
  <c r="S275" i="4"/>
  <c r="R275" i="4"/>
  <c r="S274" i="4"/>
  <c r="R274" i="4"/>
  <c r="S273" i="4"/>
  <c r="R273" i="4"/>
  <c r="S272" i="4"/>
  <c r="R272" i="4"/>
  <c r="S271" i="4"/>
  <c r="R271" i="4"/>
  <c r="S270" i="4"/>
  <c r="R270" i="4"/>
  <c r="S269" i="4"/>
  <c r="R269" i="4"/>
  <c r="S268" i="4"/>
  <c r="R268" i="4"/>
  <c r="S267" i="4"/>
  <c r="R267" i="4"/>
  <c r="S266" i="4"/>
  <c r="R266" i="4"/>
  <c r="S265" i="4"/>
  <c r="R265" i="4"/>
  <c r="S264" i="4"/>
  <c r="R264" i="4"/>
  <c r="S263" i="4"/>
  <c r="R263" i="4"/>
  <c r="S262" i="4"/>
  <c r="R262" i="4"/>
  <c r="S261" i="4"/>
  <c r="R261" i="4"/>
  <c r="S260" i="4"/>
  <c r="R260" i="4"/>
  <c r="S259" i="4"/>
  <c r="R259" i="4"/>
  <c r="S258" i="4"/>
  <c r="R258" i="4"/>
  <c r="S257" i="4"/>
  <c r="R257" i="4"/>
  <c r="S256" i="4"/>
  <c r="R256" i="4"/>
  <c r="S255" i="4"/>
  <c r="R255" i="4"/>
  <c r="S254" i="4"/>
  <c r="R254" i="4"/>
  <c r="S253" i="4"/>
  <c r="R253" i="4"/>
  <c r="S252" i="4"/>
  <c r="R252" i="4"/>
  <c r="S251" i="4"/>
  <c r="R251" i="4"/>
  <c r="S250" i="4"/>
  <c r="R250" i="4"/>
  <c r="S249" i="4"/>
  <c r="R249" i="4"/>
  <c r="S248" i="4"/>
  <c r="R248" i="4"/>
  <c r="S247" i="4"/>
  <c r="R247" i="4"/>
  <c r="S246" i="4"/>
  <c r="R246" i="4"/>
  <c r="S245" i="4"/>
  <c r="R245" i="4"/>
  <c r="S244" i="4"/>
  <c r="R244" i="4"/>
  <c r="S243" i="4"/>
  <c r="R243" i="4"/>
  <c r="S242" i="4"/>
  <c r="R242" i="4"/>
  <c r="S241" i="4"/>
  <c r="R241" i="4"/>
  <c r="S240" i="4"/>
  <c r="R240" i="4"/>
  <c r="S239" i="4"/>
  <c r="R239" i="4"/>
  <c r="S238" i="4"/>
  <c r="R238" i="4"/>
  <c r="S237" i="4"/>
  <c r="R237" i="4"/>
  <c r="S236" i="4"/>
  <c r="R236" i="4"/>
  <c r="S235" i="4"/>
  <c r="R235" i="4"/>
  <c r="S234" i="4"/>
  <c r="R234" i="4"/>
  <c r="S233" i="4"/>
  <c r="R233" i="4"/>
  <c r="S232" i="4"/>
  <c r="R232" i="4"/>
  <c r="S231" i="4"/>
  <c r="R231" i="4"/>
  <c r="S230" i="4"/>
  <c r="R230" i="4"/>
  <c r="S229" i="4"/>
  <c r="R229" i="4"/>
  <c r="S228" i="4"/>
  <c r="R228" i="4"/>
  <c r="S227" i="4"/>
  <c r="R227" i="4"/>
  <c r="S226" i="4"/>
  <c r="R226" i="4"/>
  <c r="S225" i="4"/>
  <c r="R225" i="4"/>
  <c r="S224" i="4"/>
  <c r="R224" i="4"/>
  <c r="S223" i="4"/>
  <c r="R223" i="4"/>
  <c r="S222" i="4"/>
  <c r="R222" i="4"/>
  <c r="S221" i="4"/>
  <c r="R221" i="4"/>
  <c r="S220" i="4"/>
  <c r="R220" i="4"/>
  <c r="S219" i="4"/>
  <c r="R219" i="4"/>
  <c r="S218" i="4"/>
  <c r="R218" i="4"/>
  <c r="S217" i="4"/>
  <c r="R217" i="4"/>
  <c r="S216" i="4"/>
  <c r="R216" i="4"/>
  <c r="S215" i="4"/>
  <c r="R215" i="4"/>
  <c r="S214" i="4"/>
  <c r="R214" i="4"/>
  <c r="S213" i="4"/>
  <c r="R213" i="4"/>
  <c r="S212" i="4"/>
  <c r="R212" i="4"/>
  <c r="S211" i="4"/>
  <c r="R211" i="4"/>
  <c r="S210" i="4"/>
  <c r="R210" i="4"/>
  <c r="S209" i="4"/>
  <c r="R209" i="4"/>
  <c r="S208" i="4"/>
  <c r="R208" i="4"/>
  <c r="S207" i="4"/>
  <c r="R207" i="4"/>
  <c r="S206" i="4"/>
  <c r="R206" i="4"/>
  <c r="S205" i="4"/>
  <c r="R205" i="4"/>
  <c r="S204" i="4"/>
  <c r="R204" i="4"/>
  <c r="S203" i="4"/>
  <c r="R203" i="4"/>
  <c r="S202" i="4"/>
  <c r="R202" i="4"/>
  <c r="S201" i="4"/>
  <c r="R201" i="4"/>
  <c r="S200" i="4"/>
  <c r="R200" i="4"/>
  <c r="S199" i="4"/>
  <c r="R199" i="4"/>
  <c r="S198" i="4"/>
  <c r="R198" i="4"/>
  <c r="S197" i="4"/>
  <c r="R197" i="4"/>
  <c r="S196" i="4"/>
  <c r="R196" i="4"/>
  <c r="S195" i="4"/>
  <c r="R195" i="4"/>
  <c r="S194" i="4"/>
  <c r="R194" i="4"/>
  <c r="S193" i="4"/>
  <c r="R193" i="4"/>
  <c r="S192" i="4"/>
  <c r="R192" i="4"/>
  <c r="S191" i="4"/>
  <c r="R191" i="4"/>
  <c r="S190" i="4"/>
  <c r="R190" i="4"/>
  <c r="S189" i="4"/>
  <c r="R189" i="4"/>
  <c r="S188" i="4"/>
  <c r="R188" i="4"/>
  <c r="S187" i="4"/>
  <c r="R187" i="4"/>
  <c r="S186" i="4"/>
  <c r="R186" i="4"/>
  <c r="S185" i="4"/>
  <c r="R185" i="4"/>
  <c r="S184" i="4"/>
  <c r="R184" i="4"/>
  <c r="S183" i="4"/>
  <c r="R183" i="4"/>
  <c r="S182" i="4"/>
  <c r="R182" i="4"/>
  <c r="S181" i="4"/>
  <c r="R181" i="4"/>
  <c r="S180" i="4"/>
  <c r="R180" i="4"/>
  <c r="S179" i="4"/>
  <c r="R179" i="4"/>
  <c r="S178" i="4"/>
  <c r="R178" i="4"/>
  <c r="S177" i="4"/>
  <c r="R177" i="4"/>
  <c r="S176" i="4"/>
  <c r="R176" i="4"/>
  <c r="S175" i="4"/>
  <c r="R175" i="4"/>
  <c r="S174" i="4"/>
  <c r="R174" i="4"/>
  <c r="S173" i="4"/>
  <c r="R173" i="4"/>
  <c r="S172" i="4"/>
  <c r="R172" i="4"/>
  <c r="S171" i="4"/>
  <c r="R171" i="4"/>
  <c r="S170" i="4"/>
  <c r="R170" i="4"/>
  <c r="S169" i="4"/>
  <c r="R169" i="4"/>
  <c r="S168" i="4"/>
  <c r="R168" i="4"/>
  <c r="S167" i="4"/>
  <c r="R167" i="4"/>
  <c r="S166" i="4"/>
  <c r="R166" i="4"/>
  <c r="S165" i="4"/>
  <c r="R165" i="4"/>
  <c r="S164" i="4"/>
  <c r="R164" i="4"/>
  <c r="S163" i="4"/>
  <c r="R163" i="4"/>
  <c r="S162" i="4"/>
  <c r="R162" i="4"/>
  <c r="S161" i="4"/>
  <c r="R161" i="4"/>
  <c r="S160" i="4"/>
  <c r="R160" i="4"/>
  <c r="S159" i="4"/>
  <c r="R159" i="4"/>
  <c r="S158" i="4"/>
  <c r="R158" i="4"/>
  <c r="S157" i="4"/>
  <c r="R157" i="4"/>
  <c r="S156" i="4"/>
  <c r="R156" i="4"/>
  <c r="S155" i="4"/>
  <c r="R155" i="4"/>
  <c r="S154" i="4"/>
  <c r="R154" i="4"/>
  <c r="S153" i="4"/>
  <c r="R153" i="4"/>
  <c r="S152" i="4"/>
  <c r="R152" i="4"/>
  <c r="S151" i="4"/>
  <c r="R151" i="4"/>
  <c r="S150" i="4"/>
  <c r="R150" i="4"/>
  <c r="S149" i="4"/>
  <c r="R149" i="4"/>
  <c r="S148" i="4"/>
  <c r="R148" i="4"/>
  <c r="S147" i="4"/>
  <c r="R147" i="4"/>
  <c r="S146" i="4"/>
  <c r="R146" i="4"/>
  <c r="S145" i="4"/>
  <c r="R145" i="4"/>
  <c r="S144" i="4"/>
  <c r="R144" i="4"/>
  <c r="S143" i="4"/>
  <c r="R143" i="4"/>
  <c r="S142" i="4"/>
  <c r="R142" i="4"/>
  <c r="S141" i="4"/>
  <c r="R141" i="4"/>
  <c r="S140" i="4"/>
  <c r="R140" i="4"/>
  <c r="S139" i="4"/>
  <c r="R139" i="4"/>
  <c r="S138" i="4"/>
  <c r="R138" i="4"/>
  <c r="S137" i="4"/>
  <c r="R137" i="4"/>
  <c r="S136" i="4"/>
  <c r="R136" i="4"/>
  <c r="S135" i="4"/>
  <c r="R135" i="4"/>
  <c r="S134" i="4"/>
  <c r="R134" i="4"/>
  <c r="S133" i="4"/>
  <c r="R133" i="4"/>
  <c r="S132" i="4"/>
  <c r="R132" i="4"/>
  <c r="S131" i="4"/>
  <c r="R131" i="4"/>
  <c r="S130" i="4"/>
  <c r="R130" i="4"/>
  <c r="S129" i="4"/>
  <c r="R129" i="4"/>
  <c r="S128" i="4"/>
  <c r="R128" i="4"/>
  <c r="S127" i="4"/>
  <c r="R127" i="4"/>
  <c r="S126" i="4"/>
  <c r="R126" i="4"/>
  <c r="S125" i="4"/>
  <c r="R125" i="4"/>
  <c r="S124" i="4"/>
  <c r="R124" i="4"/>
  <c r="S123" i="4"/>
  <c r="R123" i="4"/>
  <c r="S122" i="4"/>
  <c r="R122" i="4"/>
  <c r="S121" i="4"/>
  <c r="R121" i="4"/>
  <c r="S120" i="4"/>
  <c r="R120" i="4"/>
  <c r="S119" i="4"/>
  <c r="R119" i="4"/>
  <c r="S118" i="4"/>
  <c r="R118" i="4"/>
  <c r="S117" i="4"/>
  <c r="R117" i="4"/>
  <c r="S116" i="4"/>
  <c r="R116" i="4"/>
  <c r="S115" i="4"/>
  <c r="R115" i="4"/>
  <c r="S114" i="4"/>
  <c r="R114" i="4"/>
  <c r="S113" i="4"/>
  <c r="R113" i="4"/>
  <c r="S112" i="4"/>
  <c r="R112" i="4"/>
  <c r="S111" i="4"/>
  <c r="R111" i="4"/>
  <c r="S110" i="4"/>
  <c r="R110" i="4"/>
  <c r="S109" i="4"/>
  <c r="R109" i="4"/>
  <c r="S108" i="4"/>
  <c r="R108" i="4"/>
  <c r="S107" i="4"/>
  <c r="R107" i="4"/>
  <c r="S106" i="4"/>
  <c r="R106" i="4"/>
  <c r="S105" i="4"/>
  <c r="R105" i="4"/>
  <c r="S104" i="4"/>
  <c r="R104" i="4"/>
  <c r="S103" i="4"/>
  <c r="R103" i="4"/>
  <c r="S102" i="4"/>
  <c r="R102" i="4"/>
  <c r="S101" i="4"/>
  <c r="R101" i="4"/>
  <c r="S100" i="4"/>
  <c r="R100" i="4"/>
  <c r="S99" i="4"/>
  <c r="R99" i="4"/>
  <c r="S98" i="4"/>
  <c r="R98" i="4"/>
  <c r="S97" i="4"/>
  <c r="R97" i="4"/>
  <c r="S96" i="4"/>
  <c r="R96" i="4"/>
  <c r="S95" i="4"/>
  <c r="R95" i="4"/>
  <c r="S94" i="4"/>
  <c r="R94" i="4"/>
  <c r="S93" i="4"/>
  <c r="R93" i="4"/>
  <c r="S92" i="4"/>
  <c r="R92" i="4"/>
  <c r="S91" i="4"/>
  <c r="R91" i="4"/>
  <c r="S90" i="4"/>
  <c r="R90" i="4"/>
  <c r="S89" i="4"/>
  <c r="R89" i="4"/>
  <c r="S88" i="4"/>
  <c r="R88" i="4"/>
  <c r="S87" i="4"/>
  <c r="R87" i="4"/>
  <c r="S86" i="4"/>
  <c r="R86" i="4"/>
  <c r="S85" i="4"/>
  <c r="R85" i="4"/>
  <c r="S84" i="4"/>
  <c r="R84" i="4"/>
  <c r="S83" i="4"/>
  <c r="R83" i="4"/>
  <c r="S82" i="4"/>
  <c r="R82" i="4"/>
  <c r="S81" i="4"/>
  <c r="R81" i="4"/>
  <c r="S80" i="4"/>
  <c r="R80" i="4"/>
  <c r="S79" i="4"/>
  <c r="R79" i="4"/>
  <c r="S78" i="4"/>
  <c r="R78" i="4"/>
  <c r="S77" i="4"/>
  <c r="R77" i="4"/>
  <c r="S76" i="4"/>
  <c r="R76" i="4"/>
  <c r="S75" i="4"/>
  <c r="R75" i="4"/>
  <c r="S74" i="4"/>
  <c r="R74" i="4"/>
  <c r="S73" i="4"/>
  <c r="R73" i="4"/>
  <c r="S72" i="4"/>
  <c r="R72" i="4"/>
  <c r="S71" i="4"/>
  <c r="R71" i="4"/>
  <c r="S70" i="4"/>
  <c r="R70" i="4"/>
  <c r="S69" i="4"/>
  <c r="R69" i="4"/>
  <c r="S68" i="4"/>
  <c r="R68" i="4"/>
  <c r="S67" i="4"/>
  <c r="R67" i="4"/>
  <c r="S66" i="4"/>
  <c r="R66" i="4"/>
  <c r="S65" i="4"/>
  <c r="R65" i="4"/>
  <c r="S64" i="4"/>
  <c r="R64" i="4"/>
  <c r="S63" i="4"/>
  <c r="R63" i="4"/>
  <c r="S62" i="4"/>
  <c r="R62" i="4"/>
  <c r="S61" i="4"/>
  <c r="R61" i="4"/>
  <c r="S60" i="4"/>
  <c r="R60" i="4"/>
  <c r="S59" i="4"/>
  <c r="R59" i="4"/>
  <c r="S58" i="4"/>
  <c r="R58" i="4"/>
  <c r="S57" i="4"/>
  <c r="R57" i="4"/>
  <c r="S56" i="4"/>
  <c r="R56" i="4"/>
  <c r="S55" i="4"/>
  <c r="R55" i="4"/>
  <c r="S54" i="4"/>
  <c r="R54" i="4"/>
  <c r="S53" i="4"/>
  <c r="R53" i="4"/>
  <c r="S52" i="4"/>
  <c r="R52" i="4"/>
  <c r="S51" i="4"/>
  <c r="R51" i="4"/>
  <c r="S50" i="4"/>
  <c r="R50" i="4"/>
  <c r="S49" i="4"/>
  <c r="R49" i="4"/>
  <c r="S48" i="4"/>
  <c r="R48" i="4"/>
  <c r="S47" i="4"/>
  <c r="R47" i="4"/>
  <c r="S46" i="4"/>
  <c r="R46" i="4"/>
  <c r="S45" i="4"/>
  <c r="R45" i="4"/>
  <c r="S44" i="4"/>
  <c r="R44" i="4"/>
  <c r="S43" i="4"/>
  <c r="R43" i="4"/>
  <c r="S42" i="4"/>
  <c r="R42" i="4"/>
  <c r="S41" i="4"/>
  <c r="R41" i="4"/>
  <c r="S40" i="4"/>
  <c r="R40" i="4"/>
  <c r="S39" i="4"/>
  <c r="R39" i="4"/>
  <c r="S38" i="4"/>
  <c r="R38" i="4"/>
  <c r="S37" i="4"/>
  <c r="R37" i="4"/>
  <c r="S36" i="4"/>
  <c r="R36" i="4"/>
  <c r="S35" i="4"/>
  <c r="R35" i="4"/>
  <c r="S34" i="4"/>
  <c r="R34" i="4"/>
  <c r="S33" i="4"/>
  <c r="R33" i="4"/>
  <c r="S32" i="4"/>
  <c r="R32" i="4"/>
  <c r="S31" i="4"/>
  <c r="R31" i="4"/>
  <c r="S30" i="4"/>
  <c r="R30" i="4"/>
  <c r="S29" i="4"/>
  <c r="R29" i="4"/>
  <c r="S28" i="4"/>
  <c r="R28" i="4"/>
  <c r="S27" i="4"/>
  <c r="R27" i="4"/>
  <c r="S26" i="4"/>
  <c r="R26" i="4"/>
  <c r="S25" i="4"/>
  <c r="R25" i="4"/>
  <c r="S24" i="4"/>
  <c r="R24" i="4"/>
  <c r="S23" i="4"/>
  <c r="R23" i="4"/>
  <c r="S22" i="4"/>
  <c r="R22" i="4"/>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B69" i="3"/>
  <c r="I6" i="1" s="1"/>
  <c r="D60" i="3"/>
  <c r="C60" i="3"/>
  <c r="B60" i="3"/>
  <c r="D59" i="3"/>
  <c r="C59" i="3"/>
  <c r="B59" i="3"/>
  <c r="B70" i="3" s="1"/>
  <c r="B71" i="3" s="1"/>
  <c r="K6" i="1" s="1"/>
  <c r="F1" i="3"/>
  <c r="E1" i="3"/>
  <c r="D1" i="3"/>
  <c r="M6" i="1"/>
  <c r="B17" i="3" l="1"/>
  <c r="B20" i="3"/>
  <c r="C20" i="3"/>
  <c r="C19" i="3"/>
  <c r="C16" i="3"/>
  <c r="B15" i="3"/>
  <c r="C15" i="3"/>
  <c r="B21" i="3"/>
  <c r="B19" i="3"/>
  <c r="C17" i="3"/>
  <c r="B16" i="3"/>
  <c r="C21" i="3"/>
  <c r="C18" i="3"/>
  <c r="B18" i="3"/>
  <c r="D18" i="3" s="1"/>
  <c r="C55" i="3"/>
  <c r="B53" i="3"/>
  <c r="C52" i="3"/>
  <c r="B47" i="3"/>
  <c r="C45" i="3"/>
  <c r="B37" i="3"/>
  <c r="B29" i="3"/>
  <c r="B26" i="3"/>
  <c r="C4" i="3"/>
  <c r="B10" i="3"/>
  <c r="B8" i="3"/>
  <c r="E5" i="3"/>
  <c r="B68" i="3"/>
  <c r="G6" i="1" s="1"/>
  <c r="B65" i="3"/>
  <c r="B39" i="3"/>
  <c r="C28" i="3"/>
  <c r="B25" i="3"/>
  <c r="D11" i="3"/>
  <c r="E8" i="3"/>
  <c r="E6" i="3"/>
  <c r="E4" i="3"/>
  <c r="B35" i="3"/>
  <c r="C10" i="3"/>
  <c r="D8" i="3"/>
  <c r="B7" i="3"/>
  <c r="B5" i="3"/>
  <c r="C54" i="3"/>
  <c r="B40" i="3"/>
  <c r="B28" i="3"/>
  <c r="B41" i="3"/>
  <c r="B34" i="3"/>
  <c r="C25" i="3"/>
  <c r="B11" i="3"/>
  <c r="E9" i="3"/>
  <c r="E7" i="3"/>
  <c r="C5" i="3"/>
  <c r="B54" i="3"/>
  <c r="B42" i="3"/>
  <c r="C29" i="3"/>
  <c r="C26" i="3"/>
  <c r="C11" i="3"/>
  <c r="E10" i="3"/>
  <c r="B9" i="3"/>
  <c r="D7" i="3"/>
  <c r="B6" i="3"/>
  <c r="B4" i="3"/>
  <c r="B64" i="3"/>
  <c r="B55" i="3"/>
  <c r="C53" i="3"/>
  <c r="B52" i="3"/>
  <c r="C46" i="3"/>
  <c r="B45" i="3"/>
  <c r="B38" i="3"/>
  <c r="B33" i="3"/>
  <c r="B27" i="3"/>
  <c r="D9" i="3"/>
  <c r="C7" i="3"/>
  <c r="D10" i="3"/>
  <c r="C9" i="3"/>
  <c r="C6" i="3"/>
  <c r="D4" i="3"/>
  <c r="D5" i="3"/>
  <c r="B46" i="3"/>
  <c r="B36" i="3"/>
  <c r="C27" i="3"/>
  <c r="C47" i="3"/>
  <c r="E11" i="3"/>
  <c r="C8" i="3"/>
  <c r="D6" i="3"/>
  <c r="D21" i="3" l="1"/>
  <c r="B66" i="3"/>
  <c r="D53" i="3"/>
  <c r="D52" i="3"/>
  <c r="D54" i="3"/>
  <c r="D55" i="3"/>
  <c r="D25" i="3"/>
  <c r="D29" i="3"/>
  <c r="A6" i="1"/>
  <c r="D26" i="3"/>
  <c r="D27" i="3"/>
  <c r="D28" i="3"/>
  <c r="D17" i="3"/>
  <c r="D20" i="3"/>
  <c r="D15" i="3"/>
  <c r="D19" i="3"/>
  <c r="D16" i="3"/>
  <c r="C6" i="1" l="1"/>
  <c r="B67" i="3"/>
  <c r="E6" i="1" s="1"/>
</calcChain>
</file>

<file path=xl/sharedStrings.xml><?xml version="1.0" encoding="utf-8"?>
<sst xmlns="http://schemas.openxmlformats.org/spreadsheetml/2006/main" count="16641" uniqueCount="2007">
  <si>
    <t>WHEY PROTEIN SALES — 2024 PERFORMANCE DASHBOARD</t>
  </si>
  <si>
    <t>Jan – Aug 2024  |  1,500 transactions across 27 brands, 5 categories &amp; 7 customer-channel types  |  Cleaned, modeled &amp; analyzed by Dattaprasad Tawate</t>
  </si>
  <si>
    <t>Channel:</t>
  </si>
  <si>
    <t>Category:</t>
  </si>
  <si>
    <t>Month:</t>
  </si>
  <si>
    <t>NET REVENUE</t>
  </si>
  <si>
    <t>AT-RISK REVENUE</t>
  </si>
  <si>
    <t>AT-RISK %</t>
  </si>
  <si>
    <t>TOTAL TRANSACTIONS</t>
  </si>
  <si>
    <t>UNIQUE CUSTOMERS</t>
  </si>
  <si>
    <t>REPEAT PURCHASE RATE</t>
  </si>
  <si>
    <t>AVG ORDER VALUE</t>
  </si>
  <si>
    <t>WHEY PROTEIN SALES — INSIGHTS &amp; RECOMMENDATIONS</t>
  </si>
  <si>
    <t>Self-directed analytics project | Jan-Aug 2024 | 1,500 transactions, 1,387 customers | Dattaprasad Tawate</t>
  </si>
  <si>
    <t>1. Revenue Quality: Gross vs Net</t>
  </si>
  <si>
    <t>Business Insight</t>
  </si>
  <si>
    <t>Gross revenue across all 1,500 transactions is ₹94.8L, but ₹9.8L of that (10.4%) sits in Cancelled, Refunded, or Returned orders and never converts to real revenue. Net (Delivered) revenue is ₹85.0L. A double-digit at-risk rate on a repeat-purchase consumable is high enough to investigate by category and channel rather than write off as background noise.</t>
  </si>
  <si>
    <t>2. Retention Is the Real Problem</t>
  </si>
  <si>
    <t>Risk / Corrective Insight</t>
  </si>
  <si>
    <t>Of 1,387 unique customers, only 82 (5.9%) placed more than one order. For a consumable that should be reordered every 4-8 weeks, a 94% one-time-buyer rate points to a retention failure rather than an acquisition problem — the brand is spending to acquire customers who never come back. This mirrors the 37% one-time-buyer churn signal found independently in the companion SQL analytics project on the same product category, which strengthens confidence that this is a real pattern rather than a quirk of one dataset. Recommended action: a reorder-reminder trigger around day 25-35 post-purchase, targeted first at the End User segment where order volume is highest.</t>
  </si>
  <si>
    <t>3. Customer Channel Mix</t>
  </si>
  <si>
    <t>End User (direct consumer) is the largest channel by both order count (361 transactions) and revenue (₹21.2L), and also carries the highest average order value (₹5,881) of all seven channel types. Shop Owner is a close second by volume (332 transactions, ₹18.8L). The B2B-style channels — Trainer, Promoter, Gym Pro Shop — bring in meaningful volume but a slightly lower AOV, suggesting the direct-to-consumer relationship is currently the most valuable one to protect and grow, not just the largest.</t>
  </si>
  <si>
    <t>4. Category &amp; Pack Size</t>
  </si>
  <si>
    <t>Gainer is the top-revenue category (₹24.5L, 29% of net revenue) and also the highest-volume category by units sold (4,603 units) — largely driven by the 2KG pack size (2,364 of those units), which outsells every other Gainer pack size combined. The other four categories (Isolate, Hydrolised, Concentrate, Blend) are far more evenly split, each landing between 17-19% of revenue. This says the 2KG Gainer SKU is doing disproportionate work and deserves priority in stock planning and shelf placement.</t>
  </si>
  <si>
    <t>5. Geographic Concentration</t>
  </si>
  <si>
    <t>The top 5 cities (Bengaluru, Hyderabad, New Delhi, Chennai, Mumbai) generate 32% of total net revenue, with Bengaluru alone contributing ₹8.4L (9.9%) — nearly double the next-largest city. That's a healthy anchor market, but it also means demand is concentrated: a localized supply or logistics disruption in one or two metros would have an outsized impact on national revenue. Worth tracking as a supply-chain risk, not just a sales-strength story.</t>
  </si>
  <si>
    <t>6. Gender Skew</t>
  </si>
  <si>
    <t>Men account for 84.9% of orders and 85.4% of revenue — a proportional split, meaning men and women spend similarly per order once they buy. The skew is entirely about who's buying, not how much. Whether this reflects the true addressable market or an underserved segment in marketing/packaging is a question worth testing rather than assuming either way.</t>
  </si>
  <si>
    <t>7. Data Quality — What Was Cleaned</t>
  </si>
  <si>
    <t>Methodology Note</t>
  </si>
  <si>
    <t>The source data had the inconsistencies typical of real operational exports: customer-channel labels with typos and duplicate spellings ('Enduser' vs 'End user ', 'Master tainer', 'influncer', 'Gym Pro sop'), brand names with inconsistent casing and trailing whitespace, city names split across case variants (and 'Bangalore' vs its official name 'Bengaluru'), and an age-segment label ('Teenager') that actually covered ages 18-29. All of this was standardized in the Data sheet before any analysis was run — see the notes column on that sheet for the full mapping. Every KPI and chart in this workbook is formula-driven (SUMIFS/COUNTIFS/SUMPRODUCT) off the cleaned table, so it recalculates automatically if the underlying data changes.</t>
  </si>
  <si>
    <t>ANALYSIS ENGINE (formula-driven — feeds Dashboard charts &amp; KPI cards)</t>
  </si>
  <si>
    <t>Month</t>
  </si>
  <si>
    <t>Net Revenue</t>
  </si>
  <si>
    <t>Gross Revenue</t>
  </si>
  <si>
    <t>Transactions</t>
  </si>
  <si>
    <t>Units Sold</t>
  </si>
  <si>
    <t>Jan</t>
  </si>
  <si>
    <t>Feb</t>
  </si>
  <si>
    <t>Mar</t>
  </si>
  <si>
    <t>Apr</t>
  </si>
  <si>
    <t>May</t>
  </si>
  <si>
    <t>Jun</t>
  </si>
  <si>
    <t>Jul</t>
  </si>
  <si>
    <t>Aug</t>
  </si>
  <si>
    <t>Customer Channel</t>
  </si>
  <si>
    <t>AOV</t>
  </si>
  <si>
    <t>End User</t>
  </si>
  <si>
    <t>Shop Owner</t>
  </si>
  <si>
    <t>Master Trainer</t>
  </si>
  <si>
    <t>Trainer</t>
  </si>
  <si>
    <t>Gym Pro Shop</t>
  </si>
  <si>
    <t>Influencer</t>
  </si>
  <si>
    <t>Promoter</t>
  </si>
  <si>
    <t>Category</t>
  </si>
  <si>
    <t>% of Net Revenue</t>
  </si>
  <si>
    <t>Isolate</t>
  </si>
  <si>
    <t>Hydrolised</t>
  </si>
  <si>
    <t>Concentrate</t>
  </si>
  <si>
    <t>Blend</t>
  </si>
  <si>
    <t>Gainer</t>
  </si>
  <si>
    <t>City</t>
  </si>
  <si>
    <t>Bengaluru</t>
  </si>
  <si>
    <t>Hyderabad</t>
  </si>
  <si>
    <t>New Delhi</t>
  </si>
  <si>
    <t>Chennai</t>
  </si>
  <si>
    <t>Mumbai</t>
  </si>
  <si>
    <t>Kolkata</t>
  </si>
  <si>
    <t>Pune</t>
  </si>
  <si>
    <t>Lucknow</t>
  </si>
  <si>
    <t>Navi Mumbai</t>
  </si>
  <si>
    <t>Gurugram</t>
  </si>
  <si>
    <t>Age Segment</t>
  </si>
  <si>
    <t>Men Revenue</t>
  </si>
  <si>
    <t>Women Revenue</t>
  </si>
  <si>
    <t>18-29</t>
  </si>
  <si>
    <t>30-49</t>
  </si>
  <si>
    <t>50+</t>
  </si>
  <si>
    <t>Order Status</t>
  </si>
  <si>
    <t>Count</t>
  </si>
  <si>
    <t>Gross Amount</t>
  </si>
  <si>
    <t>% of Gross</t>
  </si>
  <si>
    <t>Delivered</t>
  </si>
  <si>
    <t>Cancelled</t>
  </si>
  <si>
    <t>Refunded</t>
  </si>
  <si>
    <t>Returned</t>
  </si>
  <si>
    <t>Customer Type</t>
  </si>
  <si>
    <t>Unique Customers</t>
  </si>
  <si>
    <t>Repeat</t>
  </si>
  <si>
    <t>One-Time</t>
  </si>
  <si>
    <t>KPI</t>
  </si>
  <si>
    <t>Value</t>
  </si>
  <si>
    <t>Net Revenue (Delivered)</t>
  </si>
  <si>
    <t>Gross Revenue (All Orders)</t>
  </si>
  <si>
    <t>At-Risk Revenue (Cancel/Refund/Return)</t>
  </si>
  <si>
    <t>At-Risk % of Gross</t>
  </si>
  <si>
    <t>Total Transactions</t>
  </si>
  <si>
    <t>Repeat Customers</t>
  </si>
  <si>
    <t>Repeat Purchase Rate</t>
  </si>
  <si>
    <t>Average Order Value (Delivered)</t>
  </si>
  <si>
    <t>Line #</t>
  </si>
  <si>
    <t>Order ID</t>
  </si>
  <si>
    <t>Customer ID</t>
  </si>
  <si>
    <t>Gender</t>
  </si>
  <si>
    <t>Age</t>
  </si>
  <si>
    <t>Order Date</t>
  </si>
  <si>
    <t>Brand</t>
  </si>
  <si>
    <t>Pack Size</t>
  </si>
  <si>
    <t>Quantity</t>
  </si>
  <si>
    <t>Currency</t>
  </si>
  <si>
    <t>Amount (INR)</t>
  </si>
  <si>
    <t>Ship City</t>
  </si>
  <si>
    <t>Data cleaning notes</t>
  </si>
  <si>
    <t>171-1029312-3038738</t>
  </si>
  <si>
    <t>Men</t>
  </si>
  <si>
    <t>Proquest</t>
  </si>
  <si>
    <t>1KG</t>
  </si>
  <si>
    <t>INR</t>
  </si>
  <si>
    <t>Mohali</t>
  </si>
  <si>
    <t>- Customer Channel: corrected typos/inconsistent labels (e.g. 'Enduser'/'End user' -&gt; 'End User', 'Master tainer' -&gt; 'Master Trainer', 'influncer' -&gt; 'Influencer', 'Gym Pro sop' -&gt; 'Gym Pro Shop').</t>
  </si>
  <si>
    <t>405-2183842-2225946</t>
  </si>
  <si>
    <t>Big Muscle</t>
  </si>
  <si>
    <t>2KG</t>
  </si>
  <si>
    <t>- Brand: trimmed whitespace and standardized casing (e.g. 'Bpi'/'BPI' -&gt; 'BPI', 'Avatar '/'Avatar' -&gt; 'Avatar').</t>
  </si>
  <si>
    <t>171-1641533-8921966</t>
  </si>
  <si>
    <t>Venkys</t>
  </si>
  <si>
    <t>- Ship City: trimmed, standardized case, and merged 'Bangalore' into 'Bengaluru' (official city name since 2014).</t>
  </si>
  <si>
    <t>404-7490807-6300351</t>
  </si>
  <si>
    <t>Core Nutrition</t>
  </si>
  <si>
    <t>Thanjavur</t>
  </si>
  <si>
    <t>- Age Segment: relabeled from source categories ('Teenager'/'Adult'/'Senior') to actual age ranges (18-29 / 30-49 / 50+), since the original labels were misleading (the 'Teenager' bucket included ages up to 29).</t>
  </si>
  <si>
    <t>403-9293516-4577154</t>
  </si>
  <si>
    <t>QNT</t>
  </si>
  <si>
    <t>- Net Revenue: Amount is counted only for orders with status 'Delivered'; Cancelled/Refunded/Returned orders are excluded from realized revenue but retained in the dataset for loss analysis.</t>
  </si>
  <si>
    <t>407-1298130-0368305</t>
  </si>
  <si>
    <t>GNC</t>
  </si>
  <si>
    <t>Sangli Miraj Kupwad</t>
  </si>
  <si>
    <t>- Order ID is not a unique key in the source data (some IDs repeat across different dates/amounts for the same customer); each row is treated as one transaction line for counting purposes.</t>
  </si>
  <si>
    <t>Nroute</t>
  </si>
  <si>
    <t>171-5561216-3398711</t>
  </si>
  <si>
    <t>Steadfast Nutrition</t>
  </si>
  <si>
    <t>408-2935263-2935550</t>
  </si>
  <si>
    <t>MuscleBlaze</t>
  </si>
  <si>
    <t>404-2648970-9042715</t>
  </si>
  <si>
    <t>Avatar</t>
  </si>
  <si>
    <t>Vijayawada</t>
  </si>
  <si>
    <t>As It Is</t>
  </si>
  <si>
    <t>Thiruvananthapuram</t>
  </si>
  <si>
    <t>Arakonam</t>
  </si>
  <si>
    <t>408-0265357-4939534</t>
  </si>
  <si>
    <t>Guwahati</t>
  </si>
  <si>
    <t>403-9268874-7296313</t>
  </si>
  <si>
    <t>407-0442660-2736366</t>
  </si>
  <si>
    <t>406-7482261-1657136</t>
  </si>
  <si>
    <t>407-7039962-7080347</t>
  </si>
  <si>
    <t>Bhubaneswar</t>
  </si>
  <si>
    <t>407-3422488-7373923</t>
  </si>
  <si>
    <t>Sirohi</t>
  </si>
  <si>
    <t>171-8974687-6745940</t>
  </si>
  <si>
    <t>406-0244536-2177175</t>
  </si>
  <si>
    <t>Amritsar</t>
  </si>
  <si>
    <t>404-4376789-3345166</t>
  </si>
  <si>
    <t>408-1943310-9789160</t>
  </si>
  <si>
    <t>My Protein</t>
  </si>
  <si>
    <t>403-0950590-5005155</t>
  </si>
  <si>
    <t>Optimum Nutrition</t>
  </si>
  <si>
    <t>Madurai</t>
  </si>
  <si>
    <t>406-3935670-5720350</t>
  </si>
  <si>
    <t>Dymatize</t>
  </si>
  <si>
    <t>Meerut</t>
  </si>
  <si>
    <t>402-0398999-0011565</t>
  </si>
  <si>
    <t>Isopure</t>
  </si>
  <si>
    <t>403-5438780-7231546</t>
  </si>
  <si>
    <t>MuscleTech</t>
  </si>
  <si>
    <t>Indore</t>
  </si>
  <si>
    <t>406-8343960-8137102</t>
  </si>
  <si>
    <t>Insane Labs</t>
  </si>
  <si>
    <t>Davanagere</t>
  </si>
  <si>
    <t>406-0986513-0498758</t>
  </si>
  <si>
    <t>BSN</t>
  </si>
  <si>
    <t>Rudrapur</t>
  </si>
  <si>
    <t>406-0947452-6044339</t>
  </si>
  <si>
    <t>SAN</t>
  </si>
  <si>
    <t>406-1326018-3426760</t>
  </si>
  <si>
    <t>BPI</t>
  </si>
  <si>
    <t>Prayagraj</t>
  </si>
  <si>
    <t>406-9281717-2212317</t>
  </si>
  <si>
    <t>Ultimate Nutrition</t>
  </si>
  <si>
    <t>Great Nicobar</t>
  </si>
  <si>
    <t>408-6866119-6793128</t>
  </si>
  <si>
    <t>GAT</t>
  </si>
  <si>
    <t>Ahmedabad</t>
  </si>
  <si>
    <t>403-9400852-1350710</t>
  </si>
  <si>
    <t>Evogen</t>
  </si>
  <si>
    <t>Salem</t>
  </si>
  <si>
    <t>408-2606836-0473931</t>
  </si>
  <si>
    <t>Myogentix</t>
  </si>
  <si>
    <t>405-8481179-1130753</t>
  </si>
  <si>
    <t>Kevin Livrone</t>
  </si>
  <si>
    <t>406-9686095-5057139</t>
  </si>
  <si>
    <t>Vadodara</t>
  </si>
  <si>
    <t>404-9033015-7527503</t>
  </si>
  <si>
    <t>Payyannur</t>
  </si>
  <si>
    <t>402-6932218-7744338</t>
  </si>
  <si>
    <t>Chandigarh</t>
  </si>
  <si>
    <t>408-8796291-5026713</t>
  </si>
  <si>
    <t>407-9654105-3225150</t>
  </si>
  <si>
    <t>402-0637532-2672317</t>
  </si>
  <si>
    <t>404-3393819-5081930</t>
  </si>
  <si>
    <t>406-5673590-1054739</t>
  </si>
  <si>
    <t>Sonipat</t>
  </si>
  <si>
    <t>403-5846829-5098742</t>
  </si>
  <si>
    <t>Nellore</t>
  </si>
  <si>
    <t>171-4087298-3807569</t>
  </si>
  <si>
    <t>Tiruchirappalli</t>
  </si>
  <si>
    <t>408-7694743-7590732</t>
  </si>
  <si>
    <t>406-8068610-1108329</t>
  </si>
  <si>
    <t>171-7917674-9759550</t>
  </si>
  <si>
    <t>Varanasi</t>
  </si>
  <si>
    <t>406-2709798-4585159</t>
  </si>
  <si>
    <t>Udupi</t>
  </si>
  <si>
    <t>405-4213846-6141157</t>
  </si>
  <si>
    <t>407-7381557-9088310</t>
  </si>
  <si>
    <t>Allahabad</t>
  </si>
  <si>
    <t>403-0817885-3061963</t>
  </si>
  <si>
    <t>South Delhi</t>
  </si>
  <si>
    <t>171-2439278-5433152</t>
  </si>
  <si>
    <t>Khalilabad</t>
  </si>
  <si>
    <t>405-8874360-4913961</t>
  </si>
  <si>
    <t>408-4675134-5301129</t>
  </si>
  <si>
    <t>402-9907523-6175562</t>
  </si>
  <si>
    <t>Sultanpur</t>
  </si>
  <si>
    <t>Murwara Katni</t>
  </si>
  <si>
    <t>407-7643005-7856329</t>
  </si>
  <si>
    <t>407-0381223-7065145</t>
  </si>
  <si>
    <t>407-8538186-6616316</t>
  </si>
  <si>
    <t>Mahendragarh</t>
  </si>
  <si>
    <t>403-1785530-0119510</t>
  </si>
  <si>
    <t>403-0824767-1871567</t>
  </si>
  <si>
    <t>404-8169153-4411563</t>
  </si>
  <si>
    <t>406-5169174-3536336</t>
  </si>
  <si>
    <t>Kalyan</t>
  </si>
  <si>
    <t>402-2130722-4734768</t>
  </si>
  <si>
    <t>404-8399604-8880365</t>
  </si>
  <si>
    <t>403-8213196-3804353</t>
  </si>
  <si>
    <t>Bokaro Steel City</t>
  </si>
  <si>
    <t>408-3286680-0659521</t>
  </si>
  <si>
    <t>Panchkula</t>
  </si>
  <si>
    <t>403-6014983-8111514</t>
  </si>
  <si>
    <t>403-6950860-5590722</t>
  </si>
  <si>
    <t>Patna</t>
  </si>
  <si>
    <t>406-7030051-2742704</t>
  </si>
  <si>
    <t>404-6041386-2803516</t>
  </si>
  <si>
    <t>404-7958450-6860328</t>
  </si>
  <si>
    <t>408-7814128-2203552</t>
  </si>
  <si>
    <t>403-9793483-6877106</t>
  </si>
  <si>
    <t>402-5297818-3665137</t>
  </si>
  <si>
    <t>Varkala</t>
  </si>
  <si>
    <t>171-2070545-3786767</t>
  </si>
  <si>
    <t>Bikaner</t>
  </si>
  <si>
    <t>406-1756314-4546723</t>
  </si>
  <si>
    <t>404-8786932-9447520</t>
  </si>
  <si>
    <t>Bharuch</t>
  </si>
  <si>
    <t>408-8573929-1921943</t>
  </si>
  <si>
    <t>407-8980704-1408352</t>
  </si>
  <si>
    <t>Noida</t>
  </si>
  <si>
    <t>171-2516658-6849136</t>
  </si>
  <si>
    <t>404-0105497-2446747</t>
  </si>
  <si>
    <t>Bhandara</t>
  </si>
  <si>
    <t>406-6468339-1490707</t>
  </si>
  <si>
    <t>402-6702100-7257107</t>
  </si>
  <si>
    <t>404-6243782-8199521</t>
  </si>
  <si>
    <t>Bhatkal</t>
  </si>
  <si>
    <t>403-3641651-0348348</t>
  </si>
  <si>
    <t>402-7662369-2719545</t>
  </si>
  <si>
    <t>Ranchi</t>
  </si>
  <si>
    <t>403-8575376-3341124</t>
  </si>
  <si>
    <t>403-7384618-1017125</t>
  </si>
  <si>
    <t>Visakhapatnam</t>
  </si>
  <si>
    <t>403-3542194-2527546</t>
  </si>
  <si>
    <t>Perambra</t>
  </si>
  <si>
    <t>405-6859790-7125127</t>
  </si>
  <si>
    <t>403-0347306-1283554</t>
  </si>
  <si>
    <t>406-7048232-6973930</t>
  </si>
  <si>
    <t>Hamirpur</t>
  </si>
  <si>
    <t>404-5516090-4385135</t>
  </si>
  <si>
    <t>Nayagarh</t>
  </si>
  <si>
    <t>403-0294848-6612317</t>
  </si>
  <si>
    <t>408-6522716-9753142</t>
  </si>
  <si>
    <t>408-3094141-6564325</t>
  </si>
  <si>
    <t>405-8966819-1579535</t>
  </si>
  <si>
    <t>Puduvayal</t>
  </si>
  <si>
    <t>404-2716293-0209115</t>
  </si>
  <si>
    <t>403-9848998-6793100</t>
  </si>
  <si>
    <t>Udaipur</t>
  </si>
  <si>
    <t>171-6592212-4665122</t>
  </si>
  <si>
    <t>Puducherry</t>
  </si>
  <si>
    <t>404-5467416-2849910</t>
  </si>
  <si>
    <t>Greater Noida</t>
  </si>
  <si>
    <t>408-1265802-4542716</t>
  </si>
  <si>
    <t>Secunderabad</t>
  </si>
  <si>
    <t>171-9585512-1214755</t>
  </si>
  <si>
    <t>405-6513430-0509918</t>
  </si>
  <si>
    <t>406-7694216-8034754</t>
  </si>
  <si>
    <t>Mysuru</t>
  </si>
  <si>
    <t>408-5911668-5550717</t>
  </si>
  <si>
    <t>404-5364170-6523532</t>
  </si>
  <si>
    <t>Jaipur</t>
  </si>
  <si>
    <t>405-3614770-5449966</t>
  </si>
  <si>
    <t>Bidar</t>
  </si>
  <si>
    <t>404-1246579-1197122</t>
  </si>
  <si>
    <t>Babugarh</t>
  </si>
  <si>
    <t>406-6695683-9996343</t>
  </si>
  <si>
    <t>Thane</t>
  </si>
  <si>
    <t>404-1994186-3865941</t>
  </si>
  <si>
    <t>5KG</t>
  </si>
  <si>
    <t>404-0172471-1609129</t>
  </si>
  <si>
    <t>Dohad</t>
  </si>
  <si>
    <t>406-0681598-4591519</t>
  </si>
  <si>
    <t>Barasat</t>
  </si>
  <si>
    <t>407-1388772-0703516</t>
  </si>
  <si>
    <t>408-3131740-5067529</t>
  </si>
  <si>
    <t>402-5496750-0331528</t>
  </si>
  <si>
    <t>Nagaur</t>
  </si>
  <si>
    <t>403-0816846-6852364</t>
  </si>
  <si>
    <t>Coimbatore</t>
  </si>
  <si>
    <t>408-0278400-0572330</t>
  </si>
  <si>
    <t>403-8079606-6799503</t>
  </si>
  <si>
    <t>171-4636514-5082740</t>
  </si>
  <si>
    <t>406-9847734-4402766</t>
  </si>
  <si>
    <t>403-8860022-0290733</t>
  </si>
  <si>
    <t>408-1669205-3638714</t>
  </si>
  <si>
    <t>Sangareddy</t>
  </si>
  <si>
    <t>406-6737238-3993139</t>
  </si>
  <si>
    <t>402-9605076-2885164</t>
  </si>
  <si>
    <t>Buxar</t>
  </si>
  <si>
    <t>406-9542566-5579564</t>
  </si>
  <si>
    <t>Kanjikode Industrial Area</t>
  </si>
  <si>
    <t>408-1540604-8952365</t>
  </si>
  <si>
    <t>405-9367631-7902714</t>
  </si>
  <si>
    <t>403-0595996-9383507</t>
  </si>
  <si>
    <t>Diu</t>
  </si>
  <si>
    <t>407-8256896-7645127</t>
  </si>
  <si>
    <t>407-1064158-5677135</t>
  </si>
  <si>
    <t>Yacharam</t>
  </si>
  <si>
    <t>407-2727693-8699567</t>
  </si>
  <si>
    <t>Kannur</t>
  </si>
  <si>
    <t>171-6844452-3288337</t>
  </si>
  <si>
    <t>Port Blair</t>
  </si>
  <si>
    <t>171-6908439-1987505</t>
  </si>
  <si>
    <t>Muzaffarnagar</t>
  </si>
  <si>
    <t>406-9626742-4153157</t>
  </si>
  <si>
    <t>Manmad</t>
  </si>
  <si>
    <t>403-9383537-0791567</t>
  </si>
  <si>
    <t>Suryapet</t>
  </si>
  <si>
    <t>403-6048785-9857964</t>
  </si>
  <si>
    <t>402-1040945-8225167</t>
  </si>
  <si>
    <t>Pimpri Chinchwad</t>
  </si>
  <si>
    <t>171-8224545-5941925</t>
  </si>
  <si>
    <t>Kollam</t>
  </si>
  <si>
    <t>405-8391201-0161964</t>
  </si>
  <si>
    <t>406-2036568-3507558</t>
  </si>
  <si>
    <t>407-0131231-1980322</t>
  </si>
  <si>
    <t>402-5387048-4695525</t>
  </si>
  <si>
    <t>402-4700322-7377926</t>
  </si>
  <si>
    <t>405-4774074-9942741</t>
  </si>
  <si>
    <t>408-4236224-6705913</t>
  </si>
  <si>
    <t>402-9698056-3215551</t>
  </si>
  <si>
    <t>404-1092399-0229128</t>
  </si>
  <si>
    <t>408-1867708-9856317</t>
  </si>
  <si>
    <t>402-7163849-6357160</t>
  </si>
  <si>
    <t>Ernakulam</t>
  </si>
  <si>
    <t>408-7372776-3077164</t>
  </si>
  <si>
    <t>405-7757271-3277914</t>
  </si>
  <si>
    <t>Haridwar</t>
  </si>
  <si>
    <t>407-6304030-7294757</t>
  </si>
  <si>
    <t>Mahnar Bazar</t>
  </si>
  <si>
    <t>Lalitpur</t>
  </si>
  <si>
    <t>408-7790665-4334734</t>
  </si>
  <si>
    <t>Belagavi</t>
  </si>
  <si>
    <t>407-5595686-6100341</t>
  </si>
  <si>
    <t>405-8251665-3225166</t>
  </si>
  <si>
    <t>171-7054852-3448331</t>
  </si>
  <si>
    <t>403-1132538-4037168</t>
  </si>
  <si>
    <t>402-2642921-6231538</t>
  </si>
  <si>
    <t>406-6293095-0239521</t>
  </si>
  <si>
    <t>402-2438137-5393935</t>
  </si>
  <si>
    <t>407-6539984-2399543</t>
  </si>
  <si>
    <t>403-4740407-5307521</t>
  </si>
  <si>
    <t>408-9159866-0466729</t>
  </si>
  <si>
    <t>Kanpur</t>
  </si>
  <si>
    <t>403-1619866-3571523</t>
  </si>
  <si>
    <t>Women</t>
  </si>
  <si>
    <t>406-6502399-8558757</t>
  </si>
  <si>
    <t>408-7238770-6140358</t>
  </si>
  <si>
    <t>407-1376871-0295557</t>
  </si>
  <si>
    <t>408-8257154-7073948</t>
  </si>
  <si>
    <t>404-4145340-2637920</t>
  </si>
  <si>
    <t>405-9073647-9045956</t>
  </si>
  <si>
    <t>408-8882909-7090727</t>
  </si>
  <si>
    <t>405-9353236-5655530</t>
  </si>
  <si>
    <t>Dibrugarh</t>
  </si>
  <si>
    <t>404-8519920-6090711</t>
  </si>
  <si>
    <t>Nuzvid</t>
  </si>
  <si>
    <t>408-9860710-2994745</t>
  </si>
  <si>
    <t>Kolhapur</t>
  </si>
  <si>
    <t>407-9474390-3484334</t>
  </si>
  <si>
    <t>407-5085571-9113956</t>
  </si>
  <si>
    <t>405-9457709-1221161</t>
  </si>
  <si>
    <t>Kozhikode</t>
  </si>
  <si>
    <t>171-2746120-7458740</t>
  </si>
  <si>
    <t>403-1878389-1237106</t>
  </si>
  <si>
    <t>403-0476685-3465137</t>
  </si>
  <si>
    <t>171-1845045-0161128</t>
  </si>
  <si>
    <t>Aurangabad</t>
  </si>
  <si>
    <t>404-9933073-6187548</t>
  </si>
  <si>
    <t>404-5497347-2324338</t>
  </si>
  <si>
    <t>Chhapi</t>
  </si>
  <si>
    <t>408-7912532-3769108</t>
  </si>
  <si>
    <t>Adilabad</t>
  </si>
  <si>
    <t>171-9766258-8979520</t>
  </si>
  <si>
    <t>406-1473140-7914743</t>
  </si>
  <si>
    <t>403-0524091-8412339</t>
  </si>
  <si>
    <t>402-6280655-6962731</t>
  </si>
  <si>
    <t>405-1920070-1571501</t>
  </si>
  <si>
    <t>Tuni</t>
  </si>
  <si>
    <t>406-2265901-9858750</t>
  </si>
  <si>
    <t>Solapur</t>
  </si>
  <si>
    <t>406-0476593-3693958</t>
  </si>
  <si>
    <t>Gwalior</t>
  </si>
  <si>
    <t>171-8490583-2352307</t>
  </si>
  <si>
    <t>404-5716384-0233143</t>
  </si>
  <si>
    <t>404-5226206-1753945</t>
  </si>
  <si>
    <t>Singtam</t>
  </si>
  <si>
    <t>405-3951365-4622755</t>
  </si>
  <si>
    <t>Kottayam</t>
  </si>
  <si>
    <t>403-2485702-8968337</t>
  </si>
  <si>
    <t>Vasco Da Gama</t>
  </si>
  <si>
    <t>404-5716802-5805922</t>
  </si>
  <si>
    <t>Itanagar</t>
  </si>
  <si>
    <t>408-8120045-5093125</t>
  </si>
  <si>
    <t>Roorkee</t>
  </si>
  <si>
    <t>408-7328394-2683533</t>
  </si>
  <si>
    <t>406-6875530-0340315</t>
  </si>
  <si>
    <t>171-3453298-1736319</t>
  </si>
  <si>
    <t>406-6898340-9370767</t>
  </si>
  <si>
    <t>Ajmer</t>
  </si>
  <si>
    <t>171-9867216-3827533</t>
  </si>
  <si>
    <t>407-5042032-5902761</t>
  </si>
  <si>
    <t>402-0063406-6968362</t>
  </si>
  <si>
    <t>404-8307667-6071518</t>
  </si>
  <si>
    <t>403-7968627-6588328</t>
  </si>
  <si>
    <t>408-5521742-2526737</t>
  </si>
  <si>
    <t>171-5834744-7793919</t>
  </si>
  <si>
    <t>Guntur</t>
  </si>
  <si>
    <t>408-7465655-2417933</t>
  </si>
  <si>
    <t>Pargi</t>
  </si>
  <si>
    <t>403-3665568-5477149</t>
  </si>
  <si>
    <t>Thrissur</t>
  </si>
  <si>
    <t>405-7420219-7316315</t>
  </si>
  <si>
    <t>406-5160745-8578760</t>
  </si>
  <si>
    <t>408-8985896-3094744</t>
  </si>
  <si>
    <t>404-9796800-6627547</t>
  </si>
  <si>
    <t>Kozikode</t>
  </si>
  <si>
    <t>171-5617430-3197928</t>
  </si>
  <si>
    <t>402-8714035-8722711</t>
  </si>
  <si>
    <t>Thumbe</t>
  </si>
  <si>
    <t>404-1798937-4461134</t>
  </si>
  <si>
    <t>Jalandhar</t>
  </si>
  <si>
    <t>404-2448060-6133124</t>
  </si>
  <si>
    <t>Gurgaon</t>
  </si>
  <si>
    <t>403-3863417-2662702</t>
  </si>
  <si>
    <t>405-0282991-3215561</t>
  </si>
  <si>
    <t>405-2276390-9797969</t>
  </si>
  <si>
    <t>404-0089951-1037143</t>
  </si>
  <si>
    <t>Kaithal</t>
  </si>
  <si>
    <t>407-2696952-4496353</t>
  </si>
  <si>
    <t>Vikarabad</t>
  </si>
  <si>
    <t>406-9622079-6413136</t>
  </si>
  <si>
    <t>407-8773331-0580350</t>
  </si>
  <si>
    <t>402-1035887-0881935</t>
  </si>
  <si>
    <t>Tadong</t>
  </si>
  <si>
    <t>407-8863009-7029160</t>
  </si>
  <si>
    <t>Nagpur</t>
  </si>
  <si>
    <t>407-5771983-6473156</t>
  </si>
  <si>
    <t>Imphal</t>
  </si>
  <si>
    <t>171-0442536-7993105</t>
  </si>
  <si>
    <t>Jabalpur</t>
  </si>
  <si>
    <t>406-5850336-2669159</t>
  </si>
  <si>
    <t>Hyderabad (500034)</t>
  </si>
  <si>
    <t>404-7926847-6820357</t>
  </si>
  <si>
    <t>407-1525291-4033115</t>
  </si>
  <si>
    <t>402-4283278-7350709</t>
  </si>
  <si>
    <t>408-4667355-3438769</t>
  </si>
  <si>
    <t>407-0085101-4310729</t>
  </si>
  <si>
    <t>405-4215381-1387550</t>
  </si>
  <si>
    <t>402-8558087-9373934</t>
  </si>
  <si>
    <t>171-5827792-5989157</t>
  </si>
  <si>
    <t>404-6723060-3710716</t>
  </si>
  <si>
    <t>Thoothukkudi</t>
  </si>
  <si>
    <t>407-2944135-5841949</t>
  </si>
  <si>
    <t>Narasingapuram Vellore District</t>
  </si>
  <si>
    <t>403-5156440-5557142</t>
  </si>
  <si>
    <t>Edathiruthy</t>
  </si>
  <si>
    <t>171-0228693-4451506</t>
  </si>
  <si>
    <t>404-2147583-0438768</t>
  </si>
  <si>
    <t>403-6048700-0847561</t>
  </si>
  <si>
    <t>Bhimavaram</t>
  </si>
  <si>
    <t>402-6722174-1193131</t>
  </si>
  <si>
    <t>403-9624470-3476324</t>
  </si>
  <si>
    <t>Tiruppur</t>
  </si>
  <si>
    <t>406-8164407-2451567</t>
  </si>
  <si>
    <t>Cuttack</t>
  </si>
  <si>
    <t>406-9640916-4101160</t>
  </si>
  <si>
    <t>Hissar</t>
  </si>
  <si>
    <t>404-0915050-8994707</t>
  </si>
  <si>
    <t>Ranbirsinghpora</t>
  </si>
  <si>
    <t>408-9285338-0178748</t>
  </si>
  <si>
    <t>Jalna</t>
  </si>
  <si>
    <t>406-0644445-0198740</t>
  </si>
  <si>
    <t>406-4997330-6723506</t>
  </si>
  <si>
    <t>406-3048145-0469117</t>
  </si>
  <si>
    <t>Bettiah</t>
  </si>
  <si>
    <t>407-7168499-5342708</t>
  </si>
  <si>
    <t>Ghaziabad</t>
  </si>
  <si>
    <t>406-3180908-1826707</t>
  </si>
  <si>
    <t>406-2286700-9196347</t>
  </si>
  <si>
    <t>402-3305763-7175509</t>
  </si>
  <si>
    <t>171-5676727-5195556</t>
  </si>
  <si>
    <t>406-8302065-7086738</t>
  </si>
  <si>
    <t>404-7098912-5234706</t>
  </si>
  <si>
    <t>407-3848348-8301958</t>
  </si>
  <si>
    <t>405-9613429-2310750</t>
  </si>
  <si>
    <t>Mavelikkara</t>
  </si>
  <si>
    <t>Dabra</t>
  </si>
  <si>
    <t>403-2921633-1318754</t>
  </si>
  <si>
    <t>402-1713822-0853144</t>
  </si>
  <si>
    <t>402-9822747-1695509</t>
  </si>
  <si>
    <t>406-6548679-2663552</t>
  </si>
  <si>
    <t>404-2406097-0070722</t>
  </si>
  <si>
    <t>Bhupalpalle</t>
  </si>
  <si>
    <t>171-9919199-2172366</t>
  </si>
  <si>
    <t>Bhopal</t>
  </si>
  <si>
    <t>407-8024399-9735535</t>
  </si>
  <si>
    <t>Kota</t>
  </si>
  <si>
    <t>407-7721497-0677130</t>
  </si>
  <si>
    <t>404-5590210-3310736</t>
  </si>
  <si>
    <t>405-5326871-4946749</t>
  </si>
  <si>
    <t>403-0490720-7265113</t>
  </si>
  <si>
    <t>408-0391103-2451522</t>
  </si>
  <si>
    <t>Shivamogga</t>
  </si>
  <si>
    <t>406-8905689-1231505</t>
  </si>
  <si>
    <t>Moradabad</t>
  </si>
  <si>
    <t>406-4720373-1796308</t>
  </si>
  <si>
    <t>171-0767351-4049960</t>
  </si>
  <si>
    <t>406-8967945-9865112</t>
  </si>
  <si>
    <t>Karjat Raigarh District</t>
  </si>
  <si>
    <t>406-5675757-8121123</t>
  </si>
  <si>
    <t>Agartala</t>
  </si>
  <si>
    <t>404-8218066-2747520</t>
  </si>
  <si>
    <t>Ambarnath East</t>
  </si>
  <si>
    <t>406-0529992-7047502</t>
  </si>
  <si>
    <t>402-6630432-1486758</t>
  </si>
  <si>
    <t>Howrah</t>
  </si>
  <si>
    <t>402-2194113-9960330</t>
  </si>
  <si>
    <t>Dhanbad</t>
  </si>
  <si>
    <t>408-7856161-4027511</t>
  </si>
  <si>
    <t>406-0781206-8987568</t>
  </si>
  <si>
    <t>402-7780555-9142724</t>
  </si>
  <si>
    <t>Ambarnath</t>
  </si>
  <si>
    <t>406-6047509-9643544</t>
  </si>
  <si>
    <t>404-6615959-0723530</t>
  </si>
  <si>
    <t>Wanaparthy</t>
  </si>
  <si>
    <t>407-4084518-2229124</t>
  </si>
  <si>
    <t>171-2902438-9165910</t>
  </si>
  <si>
    <t>404-6082959-9813962</t>
  </si>
  <si>
    <t>403-0608880-2574737</t>
  </si>
  <si>
    <t>402-5815426-9929904</t>
  </si>
  <si>
    <t>Makronia Buzurg</t>
  </si>
  <si>
    <t>408-4983896-0694703</t>
  </si>
  <si>
    <t>Kunnathunad</t>
  </si>
  <si>
    <t>405-0249073-8317935</t>
  </si>
  <si>
    <t>Tirupati</t>
  </si>
  <si>
    <t>171-0296282-8433917</t>
  </si>
  <si>
    <t>South West Delhi</t>
  </si>
  <si>
    <t>171-1853947-2973900</t>
  </si>
  <si>
    <t>405-4651921-1784303</t>
  </si>
  <si>
    <t>408-6987211-8854766</t>
  </si>
  <si>
    <t>Pali</t>
  </si>
  <si>
    <t>407-4835989-5602707</t>
  </si>
  <si>
    <t>403-9124078-0215546</t>
  </si>
  <si>
    <t>402-1781950-2669162</t>
  </si>
  <si>
    <t>Zirakpur</t>
  </si>
  <si>
    <t>402-3695347-2013126</t>
  </si>
  <si>
    <t>Anjar</t>
  </si>
  <si>
    <t>408-2332327-0487560</t>
  </si>
  <si>
    <t>Gangtok</t>
  </si>
  <si>
    <t>403-6393323-6741142</t>
  </si>
  <si>
    <t>Sitapur</t>
  </si>
  <si>
    <t>407-1741029-5266753</t>
  </si>
  <si>
    <t>403-9462001-4407543</t>
  </si>
  <si>
    <t>Dehradun</t>
  </si>
  <si>
    <t>403-6561746-7889157</t>
  </si>
  <si>
    <t>Gudiyatham</t>
  </si>
  <si>
    <t>406-8231592-9325919</t>
  </si>
  <si>
    <t>Daudnagar</t>
  </si>
  <si>
    <t>406-1813868-8437102</t>
  </si>
  <si>
    <t>Dharmasthala</t>
  </si>
  <si>
    <t>406-5627675-2622734</t>
  </si>
  <si>
    <t>Katihar</t>
  </si>
  <si>
    <t>407-2239856-6606703</t>
  </si>
  <si>
    <t>171-7546685-6644333</t>
  </si>
  <si>
    <t>406-3017458-9363561</t>
  </si>
  <si>
    <t>Hazaribagh</t>
  </si>
  <si>
    <t>405-5708054-7423510</t>
  </si>
  <si>
    <t>402-9342662-5811521</t>
  </si>
  <si>
    <t>405-9584565-3810723</t>
  </si>
  <si>
    <t>Naharlgun Nirjuli</t>
  </si>
  <si>
    <t>404-0229964-5801945</t>
  </si>
  <si>
    <t>171-2567899-3847556</t>
  </si>
  <si>
    <t>408-3120227-6994715</t>
  </si>
  <si>
    <t>Bela Pratapgarh</t>
  </si>
  <si>
    <t>402-1162355-7211525</t>
  </si>
  <si>
    <t>408-2844001-0981151</t>
  </si>
  <si>
    <t>402-1796640-7014716</t>
  </si>
  <si>
    <t>171-0223976-9461113</t>
  </si>
  <si>
    <t>Dombivli</t>
  </si>
  <si>
    <t>404-8085873-0181948</t>
  </si>
  <si>
    <t>407-7767130-4281167</t>
  </si>
  <si>
    <t>404-2118526-2790752</t>
  </si>
  <si>
    <t>402-7688970-4239508</t>
  </si>
  <si>
    <t>Palakkad</t>
  </si>
  <si>
    <t>406-3678042-9067560</t>
  </si>
  <si>
    <t>Warangal</t>
  </si>
  <si>
    <t>406-4725061-4210743</t>
  </si>
  <si>
    <t>408-8125364-5064333</t>
  </si>
  <si>
    <t>407-7787158-3304334</t>
  </si>
  <si>
    <t>Erode</t>
  </si>
  <si>
    <t>402-1559586-4174756</t>
  </si>
  <si>
    <t>407-4277775-0428332</t>
  </si>
  <si>
    <t>404-8238226-8953914</t>
  </si>
  <si>
    <t>404-3874867-5497948</t>
  </si>
  <si>
    <t>403-9065362-7267545</t>
  </si>
  <si>
    <t>Raipur</t>
  </si>
  <si>
    <t>408-4405714-0789902</t>
  </si>
  <si>
    <t>Bagepalli</t>
  </si>
  <si>
    <t>403-1957132-0346731</t>
  </si>
  <si>
    <t>406-8630007-6024339</t>
  </si>
  <si>
    <t>406-2849866-2096350</t>
  </si>
  <si>
    <t>407-8910046-5091542</t>
  </si>
  <si>
    <t>Ghansoli</t>
  </si>
  <si>
    <t>171-3946363-9695506</t>
  </si>
  <si>
    <t>Karur</t>
  </si>
  <si>
    <t>406-8490644-0317143</t>
  </si>
  <si>
    <t>406-0017510-2532368</t>
  </si>
  <si>
    <t>Wardha</t>
  </si>
  <si>
    <t>403-1607946-0444316</t>
  </si>
  <si>
    <t>408-4402120-6747556</t>
  </si>
  <si>
    <t>Vellore</t>
  </si>
  <si>
    <t>171-6741005-1801114</t>
  </si>
  <si>
    <t>404-7396160-3109963</t>
  </si>
  <si>
    <t>404-9872468-1444314</t>
  </si>
  <si>
    <t>Tiswadi</t>
  </si>
  <si>
    <t>404-6685775-1613117</t>
  </si>
  <si>
    <t>404-2742059-8824359</t>
  </si>
  <si>
    <t>406-0431359-8413934</t>
  </si>
  <si>
    <t>Berhampur</t>
  </si>
  <si>
    <t>405-2254374-5147557</t>
  </si>
  <si>
    <t>407-2506744-5951526</t>
  </si>
  <si>
    <t>402-0225967-3261167</t>
  </si>
  <si>
    <t>Dumraon</t>
  </si>
  <si>
    <t>405-9746730-8113940</t>
  </si>
  <si>
    <t>406-2994704-8893164</t>
  </si>
  <si>
    <t>402-4768183-2277151</t>
  </si>
  <si>
    <t>Bhagalpur</t>
  </si>
  <si>
    <t>404-5358164-6149103</t>
  </si>
  <si>
    <t>171-8201125-9962754</t>
  </si>
  <si>
    <t>Karnal</t>
  </si>
  <si>
    <t>408-6455153-3669106</t>
  </si>
  <si>
    <t>406-6936302-2339562</t>
  </si>
  <si>
    <t>402-9117771-0156352</t>
  </si>
  <si>
    <t>402-3176719-0844359</t>
  </si>
  <si>
    <t>404-5627495-7389162</t>
  </si>
  <si>
    <t>171-8666099-9479515</t>
  </si>
  <si>
    <t>Rishikesh</t>
  </si>
  <si>
    <t>171-2950631-8351558</t>
  </si>
  <si>
    <t>171-2273061-9777923</t>
  </si>
  <si>
    <t>408-5272502-9527553</t>
  </si>
  <si>
    <t>404-3639245-2253157</t>
  </si>
  <si>
    <t>Gonda</t>
  </si>
  <si>
    <t>406-5199868-7786757</t>
  </si>
  <si>
    <t>408-2633521-9125911</t>
  </si>
  <si>
    <t>Kudukkimotta</t>
  </si>
  <si>
    <t>406-3204932-9448315</t>
  </si>
  <si>
    <t>Srikakulam</t>
  </si>
  <si>
    <t>405-8846329-1473130</t>
  </si>
  <si>
    <t>Ramagundam</t>
  </si>
  <si>
    <t>408-5669660-2079503</t>
  </si>
  <si>
    <t>408-3743867-9908301</t>
  </si>
  <si>
    <t>402-8790622-7591520</t>
  </si>
  <si>
    <t>404-6016873-4061920</t>
  </si>
  <si>
    <t>Trichy</t>
  </si>
  <si>
    <t>408-4515678-2038716</t>
  </si>
  <si>
    <t>Vengara</t>
  </si>
  <si>
    <t>407-0206214-9199520</t>
  </si>
  <si>
    <t>Amravati</t>
  </si>
  <si>
    <t>402-9158142-1673135</t>
  </si>
  <si>
    <t>402-6580211-9975502</t>
  </si>
  <si>
    <t>407-8484605-5225931</t>
  </si>
  <si>
    <t>Gadag Betigeri</t>
  </si>
  <si>
    <t>407-7905996-4330721</t>
  </si>
  <si>
    <t>404-3907505-1541107</t>
  </si>
  <si>
    <t>405-2722190-1193960</t>
  </si>
  <si>
    <t>405-0418007-4920325</t>
  </si>
  <si>
    <t>Palghar</t>
  </si>
  <si>
    <t>404-5462211-6965126</t>
  </si>
  <si>
    <t>407-2928531-4669118</t>
  </si>
  <si>
    <t>Ettumanoor</t>
  </si>
  <si>
    <t>405-7292810-2395534</t>
  </si>
  <si>
    <t>403-9326035-9206751</t>
  </si>
  <si>
    <t>171-6812698-7999567</t>
  </si>
  <si>
    <t>406-7886687-0751556</t>
  </si>
  <si>
    <t>Muzaffarpur</t>
  </si>
  <si>
    <t>Singrauli</t>
  </si>
  <si>
    <t>408-3456962-9764315</t>
  </si>
  <si>
    <t>404-0411709-7385150</t>
  </si>
  <si>
    <t>Koyyalagudem</t>
  </si>
  <si>
    <t>407-1344787-9871507</t>
  </si>
  <si>
    <t>Shahbad</t>
  </si>
  <si>
    <t>171-2659259-1404303</t>
  </si>
  <si>
    <t>171-0305106-2384363</t>
  </si>
  <si>
    <t>408-5678500-0253935</t>
  </si>
  <si>
    <t>408-3697381-1299504</t>
  </si>
  <si>
    <t>402-8129717-4838741</t>
  </si>
  <si>
    <t>405-3833087-4361140</t>
  </si>
  <si>
    <t>171-1274138-4366747</t>
  </si>
  <si>
    <t>402-9198525-9884330</t>
  </si>
  <si>
    <t>405-7457952-1411503</t>
  </si>
  <si>
    <t>171-7699990-1206737</t>
  </si>
  <si>
    <t>407-6424721-8534711</t>
  </si>
  <si>
    <t>Vasai Virar</t>
  </si>
  <si>
    <t>406-2944289-9780307</t>
  </si>
  <si>
    <t>Karimnagar</t>
  </si>
  <si>
    <t>407-2792923-9568332</t>
  </si>
  <si>
    <t>403-3320475-3277105</t>
  </si>
  <si>
    <t>408-8953982-1101145</t>
  </si>
  <si>
    <t>Sirkali</t>
  </si>
  <si>
    <t>171-6114234-9173936</t>
  </si>
  <si>
    <t>406-5161481-7949123</t>
  </si>
  <si>
    <t>Surat</t>
  </si>
  <si>
    <t>171-3592356-2844355</t>
  </si>
  <si>
    <t>405-2156012-1676332</t>
  </si>
  <si>
    <t>407-7763289-2889162</t>
  </si>
  <si>
    <t>405-4103369-1897153</t>
  </si>
  <si>
    <t>402-0443362-1827532</t>
  </si>
  <si>
    <t>Ambikapur</t>
  </si>
  <si>
    <t>407-6267284-3340319</t>
  </si>
  <si>
    <t>Sedam</t>
  </si>
  <si>
    <t>403-4684341-9100316</t>
  </si>
  <si>
    <t>405-6359794-8845948</t>
  </si>
  <si>
    <t>404-0585668-7605924</t>
  </si>
  <si>
    <t>405-5140252-2700363</t>
  </si>
  <si>
    <t>405-5694760-3734737</t>
  </si>
  <si>
    <t>403-0823948-7106755</t>
  </si>
  <si>
    <t>403-8869312-5542720</t>
  </si>
  <si>
    <t>171-0395605-4197937</t>
  </si>
  <si>
    <t>406-6399089-3723519</t>
  </si>
  <si>
    <t>405-3884074-1912342</t>
  </si>
  <si>
    <t>403-7035656-8372302</t>
  </si>
  <si>
    <t>406-1229439-6357914</t>
  </si>
  <si>
    <t>403-4947593-1372365</t>
  </si>
  <si>
    <t>402-4491188-7124367</t>
  </si>
  <si>
    <t>Cheppad</t>
  </si>
  <si>
    <t>407-1775998-6454709</t>
  </si>
  <si>
    <t>408-8876998-9810704</t>
  </si>
  <si>
    <t>406-0216823-6545905</t>
  </si>
  <si>
    <t>406-1863792-6381102</t>
  </si>
  <si>
    <t>Buchireddipalem</t>
  </si>
  <si>
    <t>171-1002340-4588349</t>
  </si>
  <si>
    <t>South Goa</t>
  </si>
  <si>
    <t>403-2216196-8989933</t>
  </si>
  <si>
    <t>Dharwad</t>
  </si>
  <si>
    <t>408-4300165-9396326</t>
  </si>
  <si>
    <t>406-8400190-2999545</t>
  </si>
  <si>
    <t>405-9113248-9314745</t>
  </si>
  <si>
    <t>Malappuram</t>
  </si>
  <si>
    <t>402-5520338-9778758</t>
  </si>
  <si>
    <t>171-5510344-6923543</t>
  </si>
  <si>
    <t>407-0648743-0725138</t>
  </si>
  <si>
    <t>171-4525940-0891507</t>
  </si>
  <si>
    <t>Kullu</t>
  </si>
  <si>
    <t>171-5487299-6205113</t>
  </si>
  <si>
    <t>Pirangut</t>
  </si>
  <si>
    <t>171-3760677-1367533</t>
  </si>
  <si>
    <t>408-3086922-1029106</t>
  </si>
  <si>
    <t>402-4283216-6574726</t>
  </si>
  <si>
    <t>Kancheepuram</t>
  </si>
  <si>
    <t>408-0263159-4320328</t>
  </si>
  <si>
    <t>Kaladhungi</t>
  </si>
  <si>
    <t>406-2735063-3679501</t>
  </si>
  <si>
    <t>406-1908556-1071530</t>
  </si>
  <si>
    <t>Vaishali</t>
  </si>
  <si>
    <t>406-0263726-5575551</t>
  </si>
  <si>
    <t>403-0828016-0451506</t>
  </si>
  <si>
    <t>403-3510246-5512302</t>
  </si>
  <si>
    <t>Faridpur Bareilly District</t>
  </si>
  <si>
    <t>403-1562996-3132350</t>
  </si>
  <si>
    <t>402-1412370-9685169</t>
  </si>
  <si>
    <t>Rasayani</t>
  </si>
  <si>
    <t>403-0195090-0359513</t>
  </si>
  <si>
    <t>408-4805720-2828314</t>
  </si>
  <si>
    <t>408-1482595-9961958</t>
  </si>
  <si>
    <t>Dhaliyur</t>
  </si>
  <si>
    <t>404-0561569-5414723</t>
  </si>
  <si>
    <t>404-9913700-4902721</t>
  </si>
  <si>
    <t>404-6038553-2708307</t>
  </si>
  <si>
    <t>Dowleswaram</t>
  </si>
  <si>
    <t>407-3491457-0963526</t>
  </si>
  <si>
    <t>171-9395757-8658715</t>
  </si>
  <si>
    <t>171-5763184-9158761</t>
  </si>
  <si>
    <t>404-3307096-8985128</t>
  </si>
  <si>
    <t>Bapatla</t>
  </si>
  <si>
    <t>402-1646848-7925135</t>
  </si>
  <si>
    <t>Vizianagaram</t>
  </si>
  <si>
    <t>408-6918550-2763518</t>
  </si>
  <si>
    <t>408-0470788-0615524</t>
  </si>
  <si>
    <t>408-4125863-6581125</t>
  </si>
  <si>
    <t>405-1619093-9851565</t>
  </si>
  <si>
    <t>Siwan</t>
  </si>
  <si>
    <t>Warora</t>
  </si>
  <si>
    <t>408-3714219-0253939</t>
  </si>
  <si>
    <t>Siddipet</t>
  </si>
  <si>
    <t>404-8275680-9341960</t>
  </si>
  <si>
    <t>404-6032671-5435545</t>
  </si>
  <si>
    <t>405-6130966-3411567</t>
  </si>
  <si>
    <t>Rajam</t>
  </si>
  <si>
    <t>406-0193925-5025108</t>
  </si>
  <si>
    <t>Sidcul Haridwar</t>
  </si>
  <si>
    <t>404-5373067-2161925</t>
  </si>
  <si>
    <t>402-8119281-8018720</t>
  </si>
  <si>
    <t>407-1994630-2789904</t>
  </si>
  <si>
    <t>403-4549965-5374727</t>
  </si>
  <si>
    <t>402-0008673-0033151</t>
  </si>
  <si>
    <t>407-4166762-0677156</t>
  </si>
  <si>
    <t>406-8960622-0081958</t>
  </si>
  <si>
    <t>406-0634942-2596333</t>
  </si>
  <si>
    <t>Balrampur</t>
  </si>
  <si>
    <t>406-5158965-8921161</t>
  </si>
  <si>
    <t>408-5490746-7089139</t>
  </si>
  <si>
    <t>405-7528511-4203536</t>
  </si>
  <si>
    <t>Deoria</t>
  </si>
  <si>
    <t>404-4047531-9682767</t>
  </si>
  <si>
    <t>Rae Bareli</t>
  </si>
  <si>
    <t>407-2277333-1295519</t>
  </si>
  <si>
    <t>405-6993353-1283507</t>
  </si>
  <si>
    <t>402-7209804-2247548</t>
  </si>
  <si>
    <t>171-2721307-6181962</t>
  </si>
  <si>
    <t>Ganganagar</t>
  </si>
  <si>
    <t>408-4244576-9116343</t>
  </si>
  <si>
    <t>403-6685847-4507544</t>
  </si>
  <si>
    <t>171-1981568-5231569</t>
  </si>
  <si>
    <t>404-0205757-1520336</t>
  </si>
  <si>
    <t>402-2303396-0904316</t>
  </si>
  <si>
    <t>403-3553137-7152321</t>
  </si>
  <si>
    <t>171-7882707-9911529</t>
  </si>
  <si>
    <t>405-1286640-6913124</t>
  </si>
  <si>
    <t>408-1531245-1663517</t>
  </si>
  <si>
    <t>Alanthurai</t>
  </si>
  <si>
    <t>171-9890628-7457933</t>
  </si>
  <si>
    <t>405-6101159-5807544</t>
  </si>
  <si>
    <t>403-5964555-4790764</t>
  </si>
  <si>
    <t>408-2410897-7557123</t>
  </si>
  <si>
    <t>403-6177297-3420318</t>
  </si>
  <si>
    <t>Titlagarh</t>
  </si>
  <si>
    <t>408-8813507-3063501</t>
  </si>
  <si>
    <t>403-1973643-5554719</t>
  </si>
  <si>
    <t>403-8630605-0690769</t>
  </si>
  <si>
    <t>406-8611373-5539557</t>
  </si>
  <si>
    <t>408-2044365-9097967</t>
  </si>
  <si>
    <t>403-8151832-3333941</t>
  </si>
  <si>
    <t>171-2235887-5585145</t>
  </si>
  <si>
    <t>Pathanamthitta</t>
  </si>
  <si>
    <t>404-3998205-7286762</t>
  </si>
  <si>
    <t>404-5548596-8561152</t>
  </si>
  <si>
    <t>408-0252614-8486701</t>
  </si>
  <si>
    <t>405-5497113-3123502</t>
  </si>
  <si>
    <t>Faridabad</t>
  </si>
  <si>
    <t>404-4640147-9453139</t>
  </si>
  <si>
    <t>408-1729818-8505930</t>
  </si>
  <si>
    <t>405-3488885-1780355</t>
  </si>
  <si>
    <t>Nattakam</t>
  </si>
  <si>
    <t>404-3898679-4793931</t>
  </si>
  <si>
    <t>405-0937120-4395504</t>
  </si>
  <si>
    <t>171-3504837-5617119</t>
  </si>
  <si>
    <t>408-2374778-6181118</t>
  </si>
  <si>
    <t>406-5504608-9635536</t>
  </si>
  <si>
    <t>Gautam Buddha Nagar</t>
  </si>
  <si>
    <t>402-1316762-0594717</t>
  </si>
  <si>
    <t>Sikkathambur Palayam</t>
  </si>
  <si>
    <t>402-1749092-6325957</t>
  </si>
  <si>
    <t>Navelim</t>
  </si>
  <si>
    <t>408-3238001-7081138</t>
  </si>
  <si>
    <t>Mangaluru</t>
  </si>
  <si>
    <t>402-8136697-0684301</t>
  </si>
  <si>
    <t>406-8378600-4217138</t>
  </si>
  <si>
    <t>Goregaon East, Mumbai -  400097</t>
  </si>
  <si>
    <t>404-2839193-7107551</t>
  </si>
  <si>
    <t>Nagaon</t>
  </si>
  <si>
    <t>403-8374030-6006715</t>
  </si>
  <si>
    <t>403-6081434-3402708</t>
  </si>
  <si>
    <t>Itahar</t>
  </si>
  <si>
    <t>402-3658501-5533112</t>
  </si>
  <si>
    <t>408-7272392-5617143</t>
  </si>
  <si>
    <t>403-8984518-5638700</t>
  </si>
  <si>
    <t>Nadiad</t>
  </si>
  <si>
    <t>406-4461058-4386706</t>
  </si>
  <si>
    <t>406-9980959-3520369</t>
  </si>
  <si>
    <t>405-5984744-5075555</t>
  </si>
  <si>
    <t>407-6101487-7449166</t>
  </si>
  <si>
    <t>405-4816337-9550701</t>
  </si>
  <si>
    <t>404-0605697-4066746</t>
  </si>
  <si>
    <t>404-1759089-8145144</t>
  </si>
  <si>
    <t>408-6149021-3150762</t>
  </si>
  <si>
    <t>Barang, Dadhapatna</t>
  </si>
  <si>
    <t>408-0290999-5302701</t>
  </si>
  <si>
    <t>Pandharpur</t>
  </si>
  <si>
    <t>171-7562871-5776336</t>
  </si>
  <si>
    <t>Mirik</t>
  </si>
  <si>
    <t>405-4777340-3371531</t>
  </si>
  <si>
    <t>Mahabubabad</t>
  </si>
  <si>
    <t>404-5372960-0722709</t>
  </si>
  <si>
    <t>407-2526682-4359517</t>
  </si>
  <si>
    <t>403-6073591-9257102</t>
  </si>
  <si>
    <t>405-2229567-3510707</t>
  </si>
  <si>
    <t>408-7874045-9757902</t>
  </si>
  <si>
    <t>403-6811391-9186758</t>
  </si>
  <si>
    <t>403-6078306-9320314</t>
  </si>
  <si>
    <t>407-4034081-1985949</t>
  </si>
  <si>
    <t>Golaghat</t>
  </si>
  <si>
    <t>Bally</t>
  </si>
  <si>
    <t>171-3374384-6724310</t>
  </si>
  <si>
    <t>Osmanabad</t>
  </si>
  <si>
    <t>402-4369754-3524352</t>
  </si>
  <si>
    <t>Amreli</t>
  </si>
  <si>
    <t>402-9530023-7697127</t>
  </si>
  <si>
    <t>Jehanabad</t>
  </si>
  <si>
    <t>406-6608262-5184312</t>
  </si>
  <si>
    <t>406-6067494-4405113</t>
  </si>
  <si>
    <t>407-6126480-7755547</t>
  </si>
  <si>
    <t>Jodhpur</t>
  </si>
  <si>
    <t>408-3151405-6535513</t>
  </si>
  <si>
    <t>402-3362405-1645124</t>
  </si>
  <si>
    <t>Rewa</t>
  </si>
  <si>
    <t>407-7255132-0575516</t>
  </si>
  <si>
    <t>403-6566928-7562711</t>
  </si>
  <si>
    <t>407-5987847-1705915</t>
  </si>
  <si>
    <t>403-5787687-0598730</t>
  </si>
  <si>
    <t>404-9893613-2835503</t>
  </si>
  <si>
    <t>Munger</t>
  </si>
  <si>
    <t>404-7723881-4591532</t>
  </si>
  <si>
    <t>407-9821652-8525912</t>
  </si>
  <si>
    <t>407-4875861-3893165</t>
  </si>
  <si>
    <t>407-6059740-6613143</t>
  </si>
  <si>
    <t>404-6970756-2865919</t>
  </si>
  <si>
    <t>Jalgaon</t>
  </si>
  <si>
    <t>404-6287760-5811531</t>
  </si>
  <si>
    <t>407-3375305-1897959</t>
  </si>
  <si>
    <t>Robertsganj</t>
  </si>
  <si>
    <t>408-9068476-2560348</t>
  </si>
  <si>
    <t>Dhaura Tanda</t>
  </si>
  <si>
    <t>407-8909433-0661906</t>
  </si>
  <si>
    <t>Indirapuram, Ghaziabad</t>
  </si>
  <si>
    <t>405-3129936-0683547</t>
  </si>
  <si>
    <t>Bantwal</t>
  </si>
  <si>
    <t>405-6638259-2676369</t>
  </si>
  <si>
    <t>Farrukhnagar</t>
  </si>
  <si>
    <t>407-7157837-3135527</t>
  </si>
  <si>
    <t>Sullia</t>
  </si>
  <si>
    <t>406-2631519-5168319</t>
  </si>
  <si>
    <t>East Delhi</t>
  </si>
  <si>
    <t>406-0271961-3764362</t>
  </si>
  <si>
    <t>402-2733877-9862735</t>
  </si>
  <si>
    <t>402-0732793-4610749</t>
  </si>
  <si>
    <t>171-4577946-2828333</t>
  </si>
  <si>
    <t>408-9482794-2578763</t>
  </si>
  <si>
    <t>407-5010143-3173104</t>
  </si>
  <si>
    <t>408-6353578-8825133</t>
  </si>
  <si>
    <t>402-7193353-0926754</t>
  </si>
  <si>
    <t>406-1369375-3623565</t>
  </si>
  <si>
    <t>Ron</t>
  </si>
  <si>
    <t>406-5751421-7464360</t>
  </si>
  <si>
    <t>Bargarh</t>
  </si>
  <si>
    <t>406-2525671-6634725</t>
  </si>
  <si>
    <t>402-1148969-0636313</t>
  </si>
  <si>
    <t>407-1480412-0866746</t>
  </si>
  <si>
    <t>406-1581803-2195535</t>
  </si>
  <si>
    <t>407-1589269-5759523</t>
  </si>
  <si>
    <t>171-0163677-1965150</t>
  </si>
  <si>
    <t>Mumbai, Bandra East</t>
  </si>
  <si>
    <t>405-5591629-4525126</t>
  </si>
  <si>
    <t>402-2762496-7761108</t>
  </si>
  <si>
    <t>405-3613696-0678764</t>
  </si>
  <si>
    <t>Yavatmal</t>
  </si>
  <si>
    <t>406-8674741-3793158</t>
  </si>
  <si>
    <t>Nowgong</t>
  </si>
  <si>
    <t>406-3961682-5581168</t>
  </si>
  <si>
    <t>Alagappapuram</t>
  </si>
  <si>
    <t>171-9993814-3190752</t>
  </si>
  <si>
    <t>403-1484966-4413950</t>
  </si>
  <si>
    <t>Hasanpur</t>
  </si>
  <si>
    <t>406-2998401-6811569</t>
  </si>
  <si>
    <t>408-0443250-3512362</t>
  </si>
  <si>
    <t>Tumkur</t>
  </si>
  <si>
    <t>408-1440632-1945912</t>
  </si>
  <si>
    <t>171-2943155-2926761</t>
  </si>
  <si>
    <t>Bareilly</t>
  </si>
  <si>
    <t>407-0165114-4631534</t>
  </si>
  <si>
    <t>Burdwan</t>
  </si>
  <si>
    <t>408-0330056-8590708</t>
  </si>
  <si>
    <t>404-8480814-8579555</t>
  </si>
  <si>
    <t>408-9740627-8617114</t>
  </si>
  <si>
    <t>407-9143448-0039516</t>
  </si>
  <si>
    <t>Musiri</t>
  </si>
  <si>
    <t>402-6604106-8120327</t>
  </si>
  <si>
    <t>403-9917475-5929124</t>
  </si>
  <si>
    <t>171-8161439-4079513</t>
  </si>
  <si>
    <t>Valpoi</t>
  </si>
  <si>
    <t>405-3946933-9781937</t>
  </si>
  <si>
    <t>408-3357610-1993157</t>
  </si>
  <si>
    <t>405-2411749-8232351</t>
  </si>
  <si>
    <t>Jajapur</t>
  </si>
  <si>
    <t>403-5633467-8586744</t>
  </si>
  <si>
    <t>171-3228955-2719539</t>
  </si>
  <si>
    <t>405-9973433-8409167</t>
  </si>
  <si>
    <t>406-1130253-9645148</t>
  </si>
  <si>
    <t>405-9716987-0970701</t>
  </si>
  <si>
    <t>403-1032774-8688341</t>
  </si>
  <si>
    <t>Adalaj</t>
  </si>
  <si>
    <t>171-0125115-0251504</t>
  </si>
  <si>
    <t>Bellary</t>
  </si>
  <si>
    <t>407-6537606-3419529</t>
  </si>
  <si>
    <t>408-0082399-4053916</t>
  </si>
  <si>
    <t>404-6673630-5993956</t>
  </si>
  <si>
    <t>404-5782801-6911546</t>
  </si>
  <si>
    <t>404-5183329-5670702</t>
  </si>
  <si>
    <t>406-8426061-9645149</t>
  </si>
  <si>
    <t>Nizamabad</t>
  </si>
  <si>
    <t>171-7753431-7325114</t>
  </si>
  <si>
    <t>Avinashi, Tirupur</t>
  </si>
  <si>
    <t>406-9159324-1538737</t>
  </si>
  <si>
    <t>171-3646143-0060353</t>
  </si>
  <si>
    <t>403-0805366-7554750</t>
  </si>
  <si>
    <t>405-6120035-9541123</t>
  </si>
  <si>
    <t>407-1702986-1421937</t>
  </si>
  <si>
    <t>403-8413071-1724308</t>
  </si>
  <si>
    <t>408-3883141-4527531</t>
  </si>
  <si>
    <t>406-4815236-3169110</t>
  </si>
  <si>
    <t>408-1811551-4974757</t>
  </si>
  <si>
    <t>402-6885401-7329145</t>
  </si>
  <si>
    <t>Faizabad</t>
  </si>
  <si>
    <t>Agra</t>
  </si>
  <si>
    <t>408-4554912-8730752</t>
  </si>
  <si>
    <t>171-4700451-1733943</t>
  </si>
  <si>
    <t>407-9857388-6845100</t>
  </si>
  <si>
    <t>406-0663102-6031540</t>
  </si>
  <si>
    <t>Anna Nagar West, Chennai</t>
  </si>
  <si>
    <t>406-5836547-3208327</t>
  </si>
  <si>
    <t>404-0289403-1633154</t>
  </si>
  <si>
    <t>Ahmadnagar</t>
  </si>
  <si>
    <t>403-3997749-6443569</t>
  </si>
  <si>
    <t>407-3035696-4045959</t>
  </si>
  <si>
    <t>Delhi</t>
  </si>
  <si>
    <t>405-3958289-7453141</t>
  </si>
  <si>
    <t>408-9939687-9918717</t>
  </si>
  <si>
    <t>403-0742597-2741165</t>
  </si>
  <si>
    <t>406-7435000-4093964</t>
  </si>
  <si>
    <t>406-9495841-6581130</t>
  </si>
  <si>
    <t>Bhadrak</t>
  </si>
  <si>
    <t>403-9612837-4457931</t>
  </si>
  <si>
    <t>406-2001002-8825957</t>
  </si>
  <si>
    <t>403-9992014-0049967</t>
  </si>
  <si>
    <t>404-2298965-1087513</t>
  </si>
  <si>
    <t>408-6229533-1087567</t>
  </si>
  <si>
    <t>404-9396326-7233962</t>
  </si>
  <si>
    <t>404-9923260-4935541</t>
  </si>
  <si>
    <t>402-3220216-6909135</t>
  </si>
  <si>
    <t>408-9096009-2107540</t>
  </si>
  <si>
    <t>Shimla</t>
  </si>
  <si>
    <t>407-1123100-7051559</t>
  </si>
  <si>
    <t>407-6297503-8597161</t>
  </si>
  <si>
    <t>406-6558831-2810709</t>
  </si>
  <si>
    <t>406-8089991-0219519</t>
  </si>
  <si>
    <t>171-0812377-2640321</t>
  </si>
  <si>
    <t>Along</t>
  </si>
  <si>
    <t>404-5421512-4545151</t>
  </si>
  <si>
    <t>405-1249390-7866716</t>
  </si>
  <si>
    <t>405-2502357-4840334</t>
  </si>
  <si>
    <t>Kalimpong</t>
  </si>
  <si>
    <t>Jogabani</t>
  </si>
  <si>
    <t>405-1922681-4762747</t>
  </si>
  <si>
    <t>Vidisha</t>
  </si>
  <si>
    <t>407-8366587-3978700</t>
  </si>
  <si>
    <t>Karauli</t>
  </si>
  <si>
    <t>405-8607134-1812312</t>
  </si>
  <si>
    <t>406-0227495-3360339</t>
  </si>
  <si>
    <t>Hyderabad Telangana</t>
  </si>
  <si>
    <t>402-0103011-3085929</t>
  </si>
  <si>
    <t>Nagarkurnool</t>
  </si>
  <si>
    <t>408-2795018-8546722</t>
  </si>
  <si>
    <t>405-6445472-3237166</t>
  </si>
  <si>
    <t>Rajsamand</t>
  </si>
  <si>
    <t>404-7957175-1288342</t>
  </si>
  <si>
    <t>407-9856168-8177132</t>
  </si>
  <si>
    <t>Ludhiana</t>
  </si>
  <si>
    <t>Angul</t>
  </si>
  <si>
    <t>406-0419767-8687515</t>
  </si>
  <si>
    <t>406-4237412-1877937</t>
  </si>
  <si>
    <t>402-4852879-9557936</t>
  </si>
  <si>
    <t>406-1405445-2740331</t>
  </si>
  <si>
    <t>Pallippuram Thiruvananthapuram District</t>
  </si>
  <si>
    <t>171-6884354-7629106</t>
  </si>
  <si>
    <t>405-8622174-5731520</t>
  </si>
  <si>
    <t>Silvassa</t>
  </si>
  <si>
    <t>406-2722780-7170744</t>
  </si>
  <si>
    <t>402-5335990-8721117</t>
  </si>
  <si>
    <t>408-7826950-8605131</t>
  </si>
  <si>
    <t>403-5059217-9886714</t>
  </si>
  <si>
    <t>407-0494347-4841919</t>
  </si>
  <si>
    <t>404-2719685-0915526</t>
  </si>
  <si>
    <t>406-2095200-9824314</t>
  </si>
  <si>
    <t>Thuraiyur</t>
  </si>
  <si>
    <t>404-2454836-6665164</t>
  </si>
  <si>
    <t>405-6200433-6965164</t>
  </si>
  <si>
    <t>406-5499856-1309108</t>
  </si>
  <si>
    <t>403-7665140-4705964</t>
  </si>
  <si>
    <t>Vapi</t>
  </si>
  <si>
    <t>402-2440471-7318708</t>
  </si>
  <si>
    <t>Nandyal</t>
  </si>
  <si>
    <t>406-3006045-7344308</t>
  </si>
  <si>
    <t>407-8395290-3912311</t>
  </si>
  <si>
    <t>Pachora</t>
  </si>
  <si>
    <t>402-0946941-8722759</t>
  </si>
  <si>
    <t>Pilani Town</t>
  </si>
  <si>
    <t>402-1458563-2999526</t>
  </si>
  <si>
    <t>408-6352387-7619502</t>
  </si>
  <si>
    <t>406-3994643-7944343</t>
  </si>
  <si>
    <t>405-1301703-2911523</t>
  </si>
  <si>
    <t>408-9479330-9640353</t>
  </si>
  <si>
    <t>402-3896864-2257960</t>
  </si>
  <si>
    <t>Nashik</t>
  </si>
  <si>
    <t>171-1345584-0305913</t>
  </si>
  <si>
    <t>Lonavala</t>
  </si>
  <si>
    <t>406-5716860-1087513</t>
  </si>
  <si>
    <t>Enathu</t>
  </si>
  <si>
    <t>403-4272710-9603542</t>
  </si>
  <si>
    <t>403-0922290-0045902</t>
  </si>
  <si>
    <t>Valsad</t>
  </si>
  <si>
    <t>406-1740618-7365108</t>
  </si>
  <si>
    <t>402-0602968-8505152</t>
  </si>
  <si>
    <t>Kadapa</t>
  </si>
  <si>
    <t>406-9062863-3205963</t>
  </si>
  <si>
    <t>407-3613368-5414714</t>
  </si>
  <si>
    <t>Hubballi</t>
  </si>
  <si>
    <t>407-4420178-6245108</t>
  </si>
  <si>
    <t>406-4969411-1737120</t>
  </si>
  <si>
    <t>403-9145699-0891532</t>
  </si>
  <si>
    <t>403-9303710-7481931</t>
  </si>
  <si>
    <t>Indapur</t>
  </si>
  <si>
    <t>402-3306879-3090710</t>
  </si>
  <si>
    <t>Panvel</t>
  </si>
  <si>
    <t>404-3772426-6601163</t>
  </si>
  <si>
    <t>407-6142702-5974757</t>
  </si>
  <si>
    <t>405-9677638-6001110</t>
  </si>
  <si>
    <t>405-3539534-8901924</t>
  </si>
  <si>
    <t>405-3693017-2205908</t>
  </si>
  <si>
    <t>403-0908483-3701163</t>
  </si>
  <si>
    <t>Chennai 126</t>
  </si>
  <si>
    <t>171-3061762-9849126</t>
  </si>
  <si>
    <t>403-0309970-1989164</t>
  </si>
  <si>
    <t>Kalyan West</t>
  </si>
  <si>
    <t>403-1438249-7888320</t>
  </si>
  <si>
    <t>407-1877949-9701954</t>
  </si>
  <si>
    <t>171-9045024-0449125</t>
  </si>
  <si>
    <t>407-7001559-5353144</t>
  </si>
  <si>
    <t>407-9419615-8996338</t>
  </si>
  <si>
    <t>406-0472980-6081900</t>
  </si>
  <si>
    <t>Baripada</t>
  </si>
  <si>
    <t>403-2179320-9533162</t>
  </si>
  <si>
    <t>Kumarapalayam</t>
  </si>
  <si>
    <t>404-2051832-9446748</t>
  </si>
  <si>
    <t>Gudur</t>
  </si>
  <si>
    <t>403-1945413-7438713</t>
  </si>
  <si>
    <t>Dhubri</t>
  </si>
  <si>
    <t>408-8267857-7779506</t>
  </si>
  <si>
    <t>Karukachal, Kottayam</t>
  </si>
  <si>
    <t>404-4748694-7841146</t>
  </si>
  <si>
    <t>406-2831295-8801146</t>
  </si>
  <si>
    <t>403-5974139-0333955</t>
  </si>
  <si>
    <t>Jamshedpur</t>
  </si>
  <si>
    <t>407-7598776-6957125</t>
  </si>
  <si>
    <t>Hisar</t>
  </si>
  <si>
    <t>407-7930396-2901166</t>
  </si>
  <si>
    <t>406-3709623-0877957</t>
  </si>
  <si>
    <t>Mandapeta</t>
  </si>
  <si>
    <t>Dongargarh</t>
  </si>
  <si>
    <t>404-9721972-3410748</t>
  </si>
  <si>
    <t>402-7604634-2210752</t>
  </si>
  <si>
    <t>405-3948279-4407517</t>
  </si>
  <si>
    <t>404-3319282-3197160</t>
  </si>
  <si>
    <t>408-3567779-0153960</t>
  </si>
  <si>
    <t>403-5569066-3161917</t>
  </si>
  <si>
    <t>405-3424885-4584343</t>
  </si>
  <si>
    <t>Ribander</t>
  </si>
  <si>
    <t>407-4504136-9174763</t>
  </si>
  <si>
    <t>171-4416496-4148317</t>
  </si>
  <si>
    <t>171-1440289-2257118</t>
  </si>
  <si>
    <t>406-5195596-1373150</t>
  </si>
  <si>
    <t>404-6836093-4686708</t>
  </si>
  <si>
    <t>403-3894545-9296345</t>
  </si>
  <si>
    <t>Leh</t>
  </si>
  <si>
    <t>403-9536882-7597936</t>
  </si>
  <si>
    <t>Mysore</t>
  </si>
  <si>
    <t>404-7032778-0033125</t>
  </si>
  <si>
    <t>Chidambaram</t>
  </si>
  <si>
    <t>404-9812865-0641953</t>
  </si>
  <si>
    <t>408-8429877-6764327</t>
  </si>
  <si>
    <t>Benipatti</t>
  </si>
  <si>
    <t>404-6154566-7669146</t>
  </si>
  <si>
    <t>407-8728806-1980300</t>
  </si>
  <si>
    <t>407-6662354-8389920</t>
  </si>
  <si>
    <t>403-8629012-9654726</t>
  </si>
  <si>
    <t>408-6505389-2952366</t>
  </si>
  <si>
    <t>Calangute</t>
  </si>
  <si>
    <t>405-1492499-3691547</t>
  </si>
  <si>
    <t>404-0301836-2893148</t>
  </si>
  <si>
    <t>406-4159700-6397165</t>
  </si>
  <si>
    <t>403-2887251-3119564</t>
  </si>
  <si>
    <t>Virudhunagar</t>
  </si>
  <si>
    <t>171-7320995-0133908</t>
  </si>
  <si>
    <t>404-5897451-3269135</t>
  </si>
  <si>
    <t>Perumbaikad - Kottayam</t>
  </si>
  <si>
    <t>408-9561002-1480339</t>
  </si>
  <si>
    <t>Mathura</t>
  </si>
  <si>
    <t>408-0518681-2689902</t>
  </si>
  <si>
    <t>408-5800756-9017154</t>
  </si>
  <si>
    <t>408-9551282-5755521</t>
  </si>
  <si>
    <t>407-1742599-9441940</t>
  </si>
  <si>
    <t>402-4054097-8031537</t>
  </si>
  <si>
    <t>408-0232355-4886745</t>
  </si>
  <si>
    <t>Jhansi</t>
  </si>
  <si>
    <t>404-4278165-0023508</t>
  </si>
  <si>
    <t>405-5168343-2086729</t>
  </si>
  <si>
    <t>403-1130175-1592300</t>
  </si>
  <si>
    <t>Jammu</t>
  </si>
  <si>
    <t>408-4898598-8925109</t>
  </si>
  <si>
    <t>406-3795610-8211533</t>
  </si>
  <si>
    <t>404-7823038-1649938</t>
  </si>
  <si>
    <t>171-1437321-6025112</t>
  </si>
  <si>
    <t>Panipat</t>
  </si>
  <si>
    <t>404-7153481-7117115</t>
  </si>
  <si>
    <t>406-1576659-9604322</t>
  </si>
  <si>
    <t>403-5072383-5333948</t>
  </si>
  <si>
    <t>171-5832764-8157106</t>
  </si>
  <si>
    <t>171-8588805-2190744</t>
  </si>
  <si>
    <t>Bidhan Nagar</t>
  </si>
  <si>
    <t>402-1545696-7090760</t>
  </si>
  <si>
    <t>404-1757235-8741164</t>
  </si>
  <si>
    <t>Addanki</t>
  </si>
  <si>
    <t>407-0448685-0002722</t>
  </si>
  <si>
    <t>403-1347567-0769932</t>
  </si>
  <si>
    <t>Chamba</t>
  </si>
  <si>
    <t>403-2837536-6512347</t>
  </si>
  <si>
    <t>Zarugumilli</t>
  </si>
  <si>
    <t>405-6876247-7899530</t>
  </si>
  <si>
    <t>Adoni</t>
  </si>
  <si>
    <t>171-4416097-2761962</t>
  </si>
  <si>
    <t>171-0190504-4615525</t>
  </si>
  <si>
    <t>408-4803090-8159534</t>
  </si>
  <si>
    <t>405-8571498-4668327</t>
  </si>
  <si>
    <t>408-5114197-9508305</t>
  </si>
  <si>
    <t>404-1461366-8181146</t>
  </si>
  <si>
    <t>404-7633246-0216359</t>
  </si>
  <si>
    <t>Corbett</t>
  </si>
  <si>
    <t>402-5938534-8114768</t>
  </si>
  <si>
    <t>Dera Bassi Industrial Area</t>
  </si>
  <si>
    <t>402-1289227-9296359</t>
  </si>
  <si>
    <t>171-4143249-8767551</t>
  </si>
  <si>
    <t>402-3944282-8486765</t>
  </si>
  <si>
    <t>404-8638286-5100333</t>
  </si>
  <si>
    <t>Bhavnagar</t>
  </si>
  <si>
    <t>405-2785878-7224331</t>
  </si>
  <si>
    <t>Mahindra World City</t>
  </si>
  <si>
    <t>404-0315286-6484371</t>
  </si>
  <si>
    <t>171-6270083-7754715</t>
  </si>
  <si>
    <t>171-1058080-2209107</t>
  </si>
  <si>
    <t>403-4628219-3826724</t>
  </si>
  <si>
    <t>404-7413963-8041919</t>
  </si>
  <si>
    <t>404-9606909-5176336</t>
  </si>
  <si>
    <t>408-9097278-3674767</t>
  </si>
  <si>
    <t>405-6827896-1784369</t>
  </si>
  <si>
    <t>406-6531661-6153918</t>
  </si>
  <si>
    <t>404-7474272-9900307</t>
  </si>
  <si>
    <t>403-0155203-1327546</t>
  </si>
  <si>
    <t>402-6856164-7868363</t>
  </si>
  <si>
    <t>402-0663538-6027557</t>
  </si>
  <si>
    <t>408-6572067-0079511</t>
  </si>
  <si>
    <t>Balasore</t>
  </si>
  <si>
    <t>404-8676194-9123566</t>
  </si>
  <si>
    <t>404-6006451-2617908</t>
  </si>
  <si>
    <t>404-1554862-0960354</t>
  </si>
  <si>
    <t>Gaya</t>
  </si>
  <si>
    <t>403-3806917-4238763</t>
  </si>
  <si>
    <t>408-3789491-1957141</t>
  </si>
  <si>
    <t>Rewari</t>
  </si>
  <si>
    <t>171-0453363-5226718</t>
  </si>
  <si>
    <t>405-5098546-3433146</t>
  </si>
  <si>
    <t>407-5300804-9397959</t>
  </si>
  <si>
    <t>404-3662956-5304335</t>
  </si>
  <si>
    <t>Solan</t>
  </si>
  <si>
    <t>403-0531561-5399516</t>
  </si>
  <si>
    <t>Taraori</t>
  </si>
  <si>
    <t>407-9833713-1365951</t>
  </si>
  <si>
    <t>406-1294687-9143544</t>
  </si>
  <si>
    <t>171-6527765-9624365</t>
  </si>
  <si>
    <t>402-1421330-0529137</t>
  </si>
  <si>
    <t>407-8545866-1721954</t>
  </si>
  <si>
    <t>408-0161822-0369956</t>
  </si>
  <si>
    <t>405-8352525-8821134</t>
  </si>
  <si>
    <t>405-9889721-7009107</t>
  </si>
  <si>
    <t>Virajpete</t>
  </si>
  <si>
    <t>402-2928429-1722767</t>
  </si>
  <si>
    <t>404-4094878-4444358</t>
  </si>
  <si>
    <t>405-3326468-3847539</t>
  </si>
  <si>
    <t>Bidhan Nagar, Kolkata</t>
  </si>
  <si>
    <t>171-3577335-7911510</t>
  </si>
  <si>
    <t>407-6008360-3653945</t>
  </si>
  <si>
    <t>Contai</t>
  </si>
  <si>
    <t>407-4041108-6413924</t>
  </si>
  <si>
    <t>408-0412154-5254702</t>
  </si>
  <si>
    <t>408-5774555-2536339</t>
  </si>
  <si>
    <t>407-9793868-2735551</t>
  </si>
  <si>
    <t>Tarikere</t>
  </si>
  <si>
    <t>407-8340679-1081117</t>
  </si>
  <si>
    <t>403-3651024-2696305</t>
  </si>
  <si>
    <t>403-4086571-1310731</t>
  </si>
  <si>
    <t>171-8101571-8805130</t>
  </si>
  <si>
    <t>406-2494201-9703566</t>
  </si>
  <si>
    <t>404-2072482-5942738</t>
  </si>
  <si>
    <t>Kahalgaon</t>
  </si>
  <si>
    <t>408-1942302-2393124</t>
  </si>
  <si>
    <t>408-4183814-6882753</t>
  </si>
  <si>
    <t>408-3629671-5149134</t>
  </si>
  <si>
    <t>408-9941188-4772351</t>
  </si>
  <si>
    <t>Srinagar</t>
  </si>
  <si>
    <t>403-2975043-7474732</t>
  </si>
  <si>
    <t>403-0909589-1805112</t>
  </si>
  <si>
    <t>Dhenkanal</t>
  </si>
  <si>
    <t>404-1642533-1535566</t>
  </si>
  <si>
    <t>171-8074188-5905928</t>
  </si>
  <si>
    <t>408-0709714-3977134</t>
  </si>
  <si>
    <t>403-6573904-1410705</t>
  </si>
  <si>
    <t>407-8738723-6091537</t>
  </si>
  <si>
    <t>Ratnagiri</t>
  </si>
  <si>
    <t>403-6194318-0886738</t>
  </si>
  <si>
    <t>404-4038476-8957102</t>
  </si>
  <si>
    <t>408-7440385-4081138</t>
  </si>
  <si>
    <t>Baran</t>
  </si>
  <si>
    <t>402-6619987-5148350</t>
  </si>
  <si>
    <t>408-9142846-2003544</t>
  </si>
  <si>
    <t>402-2901693-7417911</t>
  </si>
  <si>
    <t>Sonapur Gaon</t>
  </si>
  <si>
    <t>402-5023447-9301130</t>
  </si>
  <si>
    <t>407-2197786-7537161</t>
  </si>
  <si>
    <t>408-7351765-3161135</t>
  </si>
  <si>
    <t>402-8268269-0873160</t>
  </si>
  <si>
    <t>Mapusa</t>
  </si>
  <si>
    <t>408-7419991-8433140</t>
  </si>
  <si>
    <t>406-4157685-5550726</t>
  </si>
  <si>
    <t>404-2316020-4952337</t>
  </si>
  <si>
    <t>171-0776342-8366747</t>
  </si>
  <si>
    <t>404-2200412-4224329</t>
  </si>
  <si>
    <t>403-8221697-2336339</t>
  </si>
  <si>
    <t>407-5267552-8334724</t>
  </si>
  <si>
    <t>405-3885317-9486701</t>
  </si>
  <si>
    <t>404-1465947-1734721</t>
  </si>
  <si>
    <t>404-6465978-3108303</t>
  </si>
  <si>
    <t>402-9783452-8799547</t>
  </si>
  <si>
    <t>403-3213670-7331515</t>
  </si>
  <si>
    <t>171-3339810-3302729</t>
  </si>
  <si>
    <t>Parappanangadi</t>
  </si>
  <si>
    <t>402-9980990-5646704</t>
  </si>
  <si>
    <t>Kochi</t>
  </si>
  <si>
    <t>408-2826022-0769111</t>
  </si>
  <si>
    <t>403-9556007-4165919</t>
  </si>
  <si>
    <t>408-7910008-9999528</t>
  </si>
  <si>
    <t>408-3401875-7993916</t>
  </si>
  <si>
    <t>407-9281615-5634760</t>
  </si>
  <si>
    <t>404-2556651-9481937</t>
  </si>
  <si>
    <t>405-6980134-7609120</t>
  </si>
  <si>
    <t>402-7043825-7697146</t>
  </si>
  <si>
    <t>404-9943161-9726723</t>
  </si>
  <si>
    <t>405-6161501-5711536</t>
  </si>
  <si>
    <t>Unnao</t>
  </si>
  <si>
    <t>408-1800054-3066726</t>
  </si>
  <si>
    <t>171-3817375-8052351</t>
  </si>
  <si>
    <t>Akola</t>
  </si>
  <si>
    <t>407-8094337-1596367</t>
  </si>
  <si>
    <t>Bihar</t>
  </si>
  <si>
    <t>406-0409481-2861165</t>
  </si>
  <si>
    <t>Bantval</t>
  </si>
  <si>
    <t>408-5631828-3639533</t>
  </si>
  <si>
    <t>Perinthalmanna</t>
  </si>
  <si>
    <t>408-4300105-3777130</t>
  </si>
  <si>
    <t>402-2276792-8819531</t>
  </si>
  <si>
    <t>171-5665972-4789900</t>
  </si>
  <si>
    <t>406-9452126-2581966</t>
  </si>
  <si>
    <t>408-0103546-4986735</t>
  </si>
  <si>
    <t>407-2218153-8478768</t>
  </si>
  <si>
    <t>Kharagpur</t>
  </si>
  <si>
    <t>406-7470771-3758762</t>
  </si>
  <si>
    <t>408-8008371-1443500</t>
  </si>
  <si>
    <t>408-5525005-4842704</t>
  </si>
  <si>
    <t>402-6713711-0789936</t>
  </si>
  <si>
    <t>Tumakuru</t>
  </si>
  <si>
    <t>408-3459640-7799567</t>
  </si>
  <si>
    <t>403-1139880-9661117</t>
  </si>
  <si>
    <t>Etawah</t>
  </si>
  <si>
    <t>404-2147768-1895562</t>
  </si>
  <si>
    <t>404-1713962-4756362</t>
  </si>
  <si>
    <t>402-2775921-7296350</t>
  </si>
  <si>
    <t>405-6729877-9693936</t>
  </si>
  <si>
    <t>Chittaranjan</t>
  </si>
  <si>
    <t>404-7452370-7833959</t>
  </si>
  <si>
    <t>Ambala</t>
  </si>
  <si>
    <t>403-4610802-5037953</t>
  </si>
  <si>
    <t>407-8201411-0573143</t>
  </si>
  <si>
    <t>404-3221405-4775529</t>
  </si>
  <si>
    <t>408-2037089-7785934</t>
  </si>
  <si>
    <t>402-7557394-0502723</t>
  </si>
  <si>
    <t>Vikasnagar</t>
  </si>
  <si>
    <t>404-3323074-6713955</t>
  </si>
  <si>
    <t>403-0102795-2967514</t>
  </si>
  <si>
    <t>408-3147509-3754740</t>
  </si>
  <si>
    <t>407-4438368-9997139</t>
  </si>
  <si>
    <t>406-5800044-4533905</t>
  </si>
  <si>
    <t>403-6654250-6447565</t>
  </si>
  <si>
    <t>East Godavari</t>
  </si>
  <si>
    <t>171-7682756-9597956</t>
  </si>
  <si>
    <t>407-9785816-0422762</t>
  </si>
  <si>
    <t>Gadwal</t>
  </si>
  <si>
    <t>406-2365972-0941918</t>
  </si>
  <si>
    <t>Sricity</t>
  </si>
  <si>
    <t>404-6050123-6362721</t>
  </si>
  <si>
    <t>403-4846280-6984311</t>
  </si>
  <si>
    <t>Purnia</t>
  </si>
  <si>
    <t>403-5531302-6908308</t>
  </si>
  <si>
    <t>408-5403329-8870708</t>
  </si>
  <si>
    <t>408-1327021-0176335</t>
  </si>
  <si>
    <t>Veraval</t>
  </si>
  <si>
    <t>Kurnool</t>
  </si>
  <si>
    <t>402-2338187-9720319</t>
  </si>
  <si>
    <t>171-1476514-5094705</t>
  </si>
  <si>
    <t>403-9067431-5288301</t>
  </si>
  <si>
    <t>403-3080765-3269909</t>
  </si>
  <si>
    <t>403-4984515-8861958</t>
  </si>
  <si>
    <t>Hassan</t>
  </si>
  <si>
    <t>Panaji</t>
  </si>
  <si>
    <t>Ankleshwar</t>
  </si>
  <si>
    <t>403-0173977-3041148</t>
  </si>
  <si>
    <t>Kakinada</t>
  </si>
  <si>
    <t>Chengannur, Alappuzha District</t>
  </si>
  <si>
    <t>404-3781773-5273155</t>
  </si>
  <si>
    <t>404-8901446-2653111</t>
  </si>
  <si>
    <t>Tangi</t>
  </si>
  <si>
    <t>408-6347718-5029952</t>
  </si>
  <si>
    <t>403-9825843-7404304</t>
  </si>
  <si>
    <t>408-7186513-1799530</t>
  </si>
  <si>
    <t>171-3240121-9241919</t>
  </si>
  <si>
    <t>403-9995247-2928350</t>
  </si>
  <si>
    <t>Jashpurnagar</t>
  </si>
  <si>
    <t>403-2713312-9909901</t>
  </si>
  <si>
    <t>Davangere</t>
  </si>
  <si>
    <t>405-8150725-9017959</t>
  </si>
  <si>
    <t>408-5211914-0490753</t>
  </si>
  <si>
    <t>404-3446819-0733165</t>
  </si>
  <si>
    <t>404-0507148-4270713</t>
  </si>
  <si>
    <t>406-1462525-3769134</t>
  </si>
  <si>
    <t>171-5162864-3641937</t>
  </si>
  <si>
    <t>404-0277376-1733949</t>
  </si>
  <si>
    <t>406-0822699-7322749</t>
  </si>
  <si>
    <t>Durgapur</t>
  </si>
  <si>
    <t>404-5091416-1492320</t>
  </si>
  <si>
    <t>Baramati</t>
  </si>
  <si>
    <t>406-9647815-8723542</t>
  </si>
  <si>
    <t>Margao</t>
  </si>
  <si>
    <t>406-0159818-3450761</t>
  </si>
  <si>
    <t>Murarai,Birbhum</t>
  </si>
  <si>
    <t>404-9772395-0039531</t>
  </si>
  <si>
    <t>403-6798354-2263530</t>
  </si>
  <si>
    <t>402-1332654-5251565</t>
  </si>
  <si>
    <t>402-0525055-9985118</t>
  </si>
  <si>
    <t>Bulandshahr</t>
  </si>
  <si>
    <t>402-4949647-5281130</t>
  </si>
  <si>
    <t>Mawana</t>
  </si>
  <si>
    <t>171-5718861-2675548</t>
  </si>
  <si>
    <t>404-2491025-5387539</t>
  </si>
  <si>
    <t>406-3017669-8989931</t>
  </si>
  <si>
    <t>Satara</t>
  </si>
  <si>
    <t>407-0490921-5859564</t>
  </si>
  <si>
    <t>Dharmavaram</t>
  </si>
  <si>
    <t>402-5444548-3809964</t>
  </si>
  <si>
    <t>171-5737174-1856332</t>
  </si>
  <si>
    <t>408-8548158-4519552</t>
  </si>
  <si>
    <t>Kathua</t>
  </si>
  <si>
    <t>402-9974851-9147523</t>
  </si>
  <si>
    <t>404-2220793-9097120</t>
  </si>
  <si>
    <t>171-9155153-6653959</t>
  </si>
  <si>
    <t>171-5595188-7063520</t>
  </si>
  <si>
    <t>405-6760345-6457136</t>
  </si>
  <si>
    <t>403-3569139-2083525</t>
  </si>
  <si>
    <t>Siliguri</t>
  </si>
  <si>
    <t>403-5016171-3285148</t>
  </si>
  <si>
    <t>406-9184688-6906737</t>
  </si>
  <si>
    <t>407-1196333-2230765</t>
  </si>
  <si>
    <t>404-9978425-4809103</t>
  </si>
  <si>
    <t>171-9569162-1245942</t>
  </si>
  <si>
    <t>407-7208859-3898727</t>
  </si>
  <si>
    <t>408-9116386-3651541</t>
  </si>
  <si>
    <t>171-7286119-6769964</t>
  </si>
  <si>
    <t>402-2546275-3844326</t>
  </si>
  <si>
    <t>Lakhanpur</t>
  </si>
  <si>
    <t>407-5135320-3506755</t>
  </si>
  <si>
    <t>171-9884525-8785141</t>
  </si>
  <si>
    <t>Hardwar</t>
  </si>
  <si>
    <t>402-5628966-8442711</t>
  </si>
  <si>
    <t>Dindigul</t>
  </si>
  <si>
    <t>402-6138380-1211540</t>
  </si>
  <si>
    <t>402-0159112-4885968</t>
  </si>
  <si>
    <t>402-1960238-4917133</t>
  </si>
  <si>
    <t>402-9188859-4729952</t>
  </si>
  <si>
    <t>406-5563976-0103545</t>
  </si>
  <si>
    <t>Mancherial</t>
  </si>
  <si>
    <t>171-3204934-7787534</t>
  </si>
  <si>
    <t>171-3227935-2578752</t>
  </si>
  <si>
    <t>407-5187364-8725950</t>
  </si>
  <si>
    <t>405-8698294-0717140</t>
  </si>
  <si>
    <t>407-2360764-5530758</t>
  </si>
  <si>
    <t>402-3600740-4760302</t>
  </si>
  <si>
    <t>406-4102435-4088307</t>
  </si>
  <si>
    <t>Ottappalam</t>
  </si>
  <si>
    <t>407-1197282-0109105</t>
  </si>
  <si>
    <t>406-8315179-7364362</t>
  </si>
  <si>
    <t>404-5956376-5614708</t>
  </si>
  <si>
    <t>403-0781625-4879500</t>
  </si>
  <si>
    <t>404-9106012-7938733</t>
  </si>
  <si>
    <t>Gorakhpur</t>
  </si>
  <si>
    <t>171-8784631-0682742</t>
  </si>
  <si>
    <t>408-6382984-0553131</t>
  </si>
  <si>
    <t>408-3409162-0932334</t>
  </si>
  <si>
    <t>404-0268369-1493116</t>
  </si>
  <si>
    <t>405-7747946-4255535</t>
  </si>
  <si>
    <t>404-4576235-3073169</t>
  </si>
  <si>
    <t>Shaktinagar</t>
  </si>
  <si>
    <t>402-9819217-7541123</t>
  </si>
  <si>
    <t>Asika</t>
  </si>
  <si>
    <t>408-9419371-0086756</t>
  </si>
  <si>
    <t>408-2984947-1433156</t>
  </si>
  <si>
    <t>171-4088819-5081132</t>
  </si>
  <si>
    <t>408-7200684-0823516</t>
  </si>
  <si>
    <t>402-6143193-4145139</t>
  </si>
  <si>
    <t>406-2913362-7901131</t>
  </si>
  <si>
    <t>404-3137600-0679501</t>
  </si>
  <si>
    <t>408-0957621-9941156</t>
  </si>
  <si>
    <t>407-3447197-1460332</t>
  </si>
  <si>
    <t>Shillong</t>
  </si>
  <si>
    <t>405-1705244-7821124</t>
  </si>
  <si>
    <t>Rourkela</t>
  </si>
  <si>
    <t>171-9614792-2227508</t>
  </si>
  <si>
    <t>403-8301835-9228321</t>
  </si>
  <si>
    <t>404-2627419-4552336</t>
  </si>
  <si>
    <t>408-3515311-0058764</t>
  </si>
  <si>
    <t>404-3198986-6816347</t>
  </si>
  <si>
    <t>Eluru</t>
  </si>
  <si>
    <t>Bahadurgarh</t>
  </si>
  <si>
    <t>404-6279164-4356352</t>
  </si>
  <si>
    <t>171-9749497-7602720</t>
  </si>
  <si>
    <t>407-9660150-7244310</t>
  </si>
  <si>
    <t>402-8382670-7081102</t>
  </si>
  <si>
    <t>Raigarh</t>
  </si>
  <si>
    <t>402-3434817-3641933</t>
  </si>
  <si>
    <t>171-9026178-2712338</t>
  </si>
  <si>
    <t>171-1772770-4108334</t>
  </si>
  <si>
    <t>408-4810346-7958738</t>
  </si>
  <si>
    <t>Kottarakkara</t>
  </si>
  <si>
    <t>171-5036499-1237961</t>
  </si>
  <si>
    <t>402-9923193-2209157</t>
  </si>
  <si>
    <t>171-8994624-7251518</t>
  </si>
  <si>
    <t>407-1943998-9901109</t>
  </si>
  <si>
    <t>406-4121086-6297136</t>
  </si>
  <si>
    <t>408-7921257-0326734</t>
  </si>
  <si>
    <t>171-5616318-2458723</t>
  </si>
  <si>
    <t>405-9642932-2006758</t>
  </si>
  <si>
    <t>406-5276879-7075555</t>
  </si>
  <si>
    <t>406-1075951-9174722</t>
  </si>
  <si>
    <t>Madhepura</t>
  </si>
  <si>
    <t>406-1392839-4713138</t>
  </si>
  <si>
    <t>405-0892155-9847536</t>
  </si>
  <si>
    <t>Murud</t>
  </si>
  <si>
    <t>402-6036845-7332322</t>
  </si>
  <si>
    <t>Rajahmundry</t>
  </si>
  <si>
    <t>402-2877315-5162760</t>
  </si>
  <si>
    <t>405-6460858-7129966</t>
  </si>
  <si>
    <t>408-1944603-0379557</t>
  </si>
  <si>
    <t>Mandsaur</t>
  </si>
  <si>
    <t>408-0250238-8769138</t>
  </si>
  <si>
    <t>405-9499050-5171500</t>
  </si>
  <si>
    <t>403-0222189-7617901</t>
  </si>
  <si>
    <t>408-5663565-1382716</t>
  </si>
  <si>
    <t>171-1606875-0089905</t>
  </si>
  <si>
    <t>405-1299137-2024328</t>
  </si>
  <si>
    <t>Ujjain</t>
  </si>
  <si>
    <t>403-0426424-3530756</t>
  </si>
  <si>
    <t>Siolim</t>
  </si>
  <si>
    <t>171-5696671-5675553</t>
  </si>
  <si>
    <t>171-9603913-5850730</t>
  </si>
  <si>
    <t>405-8089566-5121109</t>
  </si>
  <si>
    <t>408-2717249-5331517</t>
  </si>
  <si>
    <t>Pithoragarh</t>
  </si>
  <si>
    <t>406-0158981-2460343</t>
  </si>
  <si>
    <t>406-6141946-5762720</t>
  </si>
  <si>
    <t>404-3264468-0141160</t>
  </si>
  <si>
    <t>403-9977490-8025947</t>
  </si>
  <si>
    <t>406-4597589-8227527</t>
  </si>
  <si>
    <t>Gondiya</t>
  </si>
  <si>
    <t>406-2544564-3421918</t>
  </si>
  <si>
    <t>405-4833870-8872327</t>
  </si>
  <si>
    <t>402-7010898-8650751</t>
  </si>
  <si>
    <t>404-9967268-8442740</t>
  </si>
  <si>
    <t>407-1897745-3007529</t>
  </si>
  <si>
    <t>408-4450198-7298706</t>
  </si>
  <si>
    <t>Parli Vaijnath</t>
  </si>
  <si>
    <t>406-8761336-2400326</t>
  </si>
  <si>
    <t>406-3528677-3229155</t>
  </si>
  <si>
    <t>Harihar</t>
  </si>
  <si>
    <t>408-8373738-0517923</t>
  </si>
  <si>
    <t>408-1366596-3556334</t>
  </si>
  <si>
    <t>407-6229553-6805162</t>
  </si>
  <si>
    <t>408-4989878-5077108</t>
  </si>
  <si>
    <t>405-5176395-1833943</t>
  </si>
  <si>
    <t>408-2470347-2212333</t>
  </si>
  <si>
    <t>171-8121668-5375518</t>
  </si>
  <si>
    <t>407-1484330-2890736</t>
  </si>
  <si>
    <t>403-1753921-0793124</t>
  </si>
  <si>
    <t>404-6968357-9473147</t>
  </si>
  <si>
    <t>406-5809177-9237945</t>
  </si>
  <si>
    <t>402-1398058-8566735</t>
  </si>
  <si>
    <t>171-8829622-5044318</t>
  </si>
  <si>
    <t>408-4573619-9451545</t>
  </si>
  <si>
    <t>404-9927746-3838701</t>
  </si>
  <si>
    <t>408-4786933-5305914</t>
  </si>
  <si>
    <t>403-7002542-6292300</t>
  </si>
  <si>
    <t>402-6834677-7678748</t>
  </si>
  <si>
    <t>Koyilandy, Kozhikode</t>
  </si>
  <si>
    <t>405-5535723-4491520</t>
  </si>
  <si>
    <t>171-8979469-3174739</t>
  </si>
  <si>
    <t>Rampur</t>
  </si>
  <si>
    <t>404-7768870-2998735</t>
  </si>
  <si>
    <t>405-2713833-5356345</t>
  </si>
  <si>
    <t>Satna</t>
  </si>
  <si>
    <t>405-4803692-5689168</t>
  </si>
  <si>
    <t>402-3727132-9219540</t>
  </si>
  <si>
    <t>Thiruvalla</t>
  </si>
  <si>
    <t>406-2714485-3755510</t>
  </si>
  <si>
    <t>407-1518509-5932309</t>
  </si>
  <si>
    <t>402-8172172-5965943</t>
  </si>
  <si>
    <t>Hoshangabad</t>
  </si>
  <si>
    <t>407-2616604-4625963</t>
  </si>
  <si>
    <t>Siddapur</t>
  </si>
  <si>
    <t>402-6767779-6718718</t>
  </si>
  <si>
    <t>Proddatur</t>
  </si>
  <si>
    <t>408-3501607-6055523</t>
  </si>
  <si>
    <t>Gandhinagar</t>
  </si>
  <si>
    <t>407-3838385-5235523</t>
  </si>
  <si>
    <t>407-6957650-9319552</t>
  </si>
  <si>
    <t>404-4245640-8749126</t>
  </si>
  <si>
    <t>402-3967649-7487511</t>
  </si>
  <si>
    <t>171-4422587-6968347</t>
  </si>
  <si>
    <t>Nakodar</t>
  </si>
  <si>
    <t>402-5787329-2190764</t>
  </si>
  <si>
    <t>404-2485892-2327537</t>
  </si>
  <si>
    <t>402-8503995-0738737</t>
  </si>
  <si>
    <t>406-6087504-9522731</t>
  </si>
  <si>
    <t>406-4199509-7531504</t>
  </si>
  <si>
    <t>404-3985944-7931524</t>
  </si>
  <si>
    <t>408-1025273-0247564</t>
  </si>
  <si>
    <t>406-9225888-4709100</t>
  </si>
  <si>
    <t>171-9109452-2675541</t>
  </si>
  <si>
    <t>Garulia</t>
  </si>
  <si>
    <t>403-9160131-5349911</t>
  </si>
  <si>
    <t>404-7287435-7165939</t>
  </si>
  <si>
    <t>171-5480727-1205935</t>
  </si>
  <si>
    <t>402-2447093-9720315</t>
  </si>
  <si>
    <t>402-1706520-2668317</t>
  </si>
  <si>
    <t>408-2008379-7377111</t>
  </si>
  <si>
    <t>407-6342847-7656313</t>
  </si>
  <si>
    <t>405-0144548-2018718</t>
  </si>
  <si>
    <t>402-4480208-4687517</t>
  </si>
  <si>
    <t>405-0452328-5293956</t>
  </si>
  <si>
    <t>407-7027004-9188308</t>
  </si>
  <si>
    <t>403-4639579-6487563</t>
  </si>
  <si>
    <t>406-8192502-7520314</t>
  </si>
  <si>
    <t>403-1073898-9546707</t>
  </si>
  <si>
    <t>403-8105776-5684353</t>
  </si>
  <si>
    <t>404-4108433-6669958</t>
  </si>
  <si>
    <t>403-7590596-4000312</t>
  </si>
  <si>
    <t>Haldwani</t>
  </si>
  <si>
    <t>407-7783914-9335507</t>
  </si>
  <si>
    <t>403-9286257-8004308</t>
  </si>
  <si>
    <t>404-6331688-4354744</t>
  </si>
  <si>
    <t>408-6294340-2996314</t>
  </si>
  <si>
    <t>Firozabad</t>
  </si>
  <si>
    <t>408-4969347-0339535</t>
  </si>
  <si>
    <t>407-8321158-5315544</t>
  </si>
  <si>
    <t>407-6510714-5718730</t>
  </si>
  <si>
    <t>407-1094625-7097121</t>
  </si>
  <si>
    <t>405-4748558-1637124</t>
  </si>
  <si>
    <t>404-6381580-3174701</t>
  </si>
  <si>
    <t>Palai</t>
  </si>
  <si>
    <t>408-9691516-4093948</t>
  </si>
  <si>
    <t>Barbil</t>
  </si>
  <si>
    <t>408-0629022-3110717</t>
  </si>
  <si>
    <t>171-6838538-3969101</t>
  </si>
  <si>
    <t>Krishnagiri</t>
  </si>
  <si>
    <t>403-0775906-5565915</t>
  </si>
  <si>
    <t>407-4153899-7382706</t>
  </si>
  <si>
    <t>171-4483599-5864338</t>
  </si>
  <si>
    <t>406-3796629-7850767</t>
  </si>
  <si>
    <t>407-4018425-4510751</t>
  </si>
  <si>
    <t>404-4788352-4549943</t>
  </si>
  <si>
    <t>407-6680125-5199552</t>
  </si>
  <si>
    <t>Jeypur</t>
  </si>
  <si>
    <t>404-9068519-3341955</t>
  </si>
  <si>
    <t>Mangrulpir</t>
  </si>
  <si>
    <t>Jagatsinghapur</t>
  </si>
  <si>
    <t>404-2989740-6307522</t>
  </si>
  <si>
    <t>Sriperumbudur</t>
  </si>
  <si>
    <t>405-1201776-2028340</t>
  </si>
  <si>
    <t>Arani Tiruvannamalai District</t>
  </si>
  <si>
    <t>407-3901170-2823565</t>
  </si>
  <si>
    <t>Nanpara</t>
  </si>
  <si>
    <t>403-0728924-5787551</t>
  </si>
  <si>
    <t>171-5683002-3226742</t>
  </si>
  <si>
    <t>405-9722357-4855551</t>
  </si>
  <si>
    <t>404-3662074-1824331</t>
  </si>
  <si>
    <t>171-2438166-4173142</t>
  </si>
  <si>
    <t>403-6820480-4223500</t>
  </si>
  <si>
    <t>408-1750809-0165118</t>
  </si>
  <si>
    <t>406-7894827-4294713</t>
  </si>
  <si>
    <t>404-5359308-3249144</t>
  </si>
  <si>
    <t>Kalaburgi</t>
  </si>
  <si>
    <t>404-9083028-6009116</t>
  </si>
  <si>
    <t>402-8259194-4068347</t>
  </si>
  <si>
    <t>402-4731403-9756349</t>
  </si>
  <si>
    <t>405-6035246-7525132</t>
  </si>
  <si>
    <t>Dalhousie</t>
  </si>
  <si>
    <t>407-5687079-8912352</t>
  </si>
  <si>
    <t>171-3334901-4793937</t>
  </si>
  <si>
    <t>404-6920467-2129930</t>
  </si>
  <si>
    <t>407-3698261-4923526</t>
  </si>
  <si>
    <t>407-4288404-1444330</t>
  </si>
  <si>
    <t>406-9156153-5312334</t>
  </si>
  <si>
    <t>406-0906395-7833969</t>
  </si>
  <si>
    <t>406-0723620-7392369</t>
  </si>
  <si>
    <t>402-2273092-0118706</t>
  </si>
  <si>
    <t>171-3012152-7737908</t>
  </si>
  <si>
    <t>405-9259471-2737922</t>
  </si>
  <si>
    <t>403-1302840-4065911</t>
  </si>
  <si>
    <t>406-1876196-6084306</t>
  </si>
  <si>
    <t>403-4476173-7678703</t>
  </si>
  <si>
    <t>408-4491955-4724349</t>
  </si>
  <si>
    <t>407-1796463-8086729</t>
  </si>
  <si>
    <t>Khurja</t>
  </si>
  <si>
    <t>406-7829542-9021933</t>
  </si>
  <si>
    <t>New Town</t>
  </si>
  <si>
    <t>406-0186588-4154733</t>
  </si>
  <si>
    <t>404-5873849-4641152</t>
  </si>
  <si>
    <t>408-3993353-7089909</t>
  </si>
  <si>
    <t>Chinsurah</t>
  </si>
  <si>
    <t>406-1857124-5399558</t>
  </si>
  <si>
    <t>171-9626926-8031529</t>
  </si>
  <si>
    <t>Orai</t>
  </si>
  <si>
    <t>407-1415968-1510750</t>
  </si>
  <si>
    <t>407-6627745-3521958</t>
  </si>
  <si>
    <t>Quepem</t>
  </si>
  <si>
    <t>171-8703669-3529120</t>
  </si>
  <si>
    <t>Pondicherry</t>
  </si>
  <si>
    <t>406-4343369-0029133</t>
  </si>
  <si>
    <t>171-8061913-6225930</t>
  </si>
  <si>
    <t>171-1461013-9063520</t>
  </si>
  <si>
    <t>404-7692743-9492368</t>
  </si>
  <si>
    <t>408-1974544-3368326</t>
  </si>
  <si>
    <t>Jourian</t>
  </si>
  <si>
    <t>404-7274697-0945121</t>
  </si>
  <si>
    <t>404-2470566-9849124</t>
  </si>
  <si>
    <t>Elgaid</t>
  </si>
  <si>
    <t>405-6374128-1181128</t>
  </si>
  <si>
    <t>Dahod</t>
  </si>
  <si>
    <t>406-0863695-3761934</t>
  </si>
  <si>
    <t>404-4798045-1368313</t>
  </si>
  <si>
    <t>Karwar</t>
  </si>
  <si>
    <t>404-0556797-7152320</t>
  </si>
  <si>
    <t>171-8490472-4683523</t>
  </si>
  <si>
    <t>402-8775744-6848303</t>
  </si>
  <si>
    <t>406-7924642-4540354</t>
  </si>
  <si>
    <t>406-3739037-6845925</t>
  </si>
  <si>
    <t>406-3392351-9694753</t>
  </si>
  <si>
    <t>405-3583244-8682738</t>
  </si>
  <si>
    <t>171-1004509-7937963</t>
  </si>
  <si>
    <t>406-5149604-4516314</t>
  </si>
  <si>
    <t>408-4945874-5956363</t>
  </si>
  <si>
    <t>Asansol</t>
  </si>
  <si>
    <t>402-8370679-9742754</t>
  </si>
  <si>
    <t>171-9757288-1506730</t>
  </si>
  <si>
    <t>403-3422175-8588361</t>
  </si>
  <si>
    <t>407-0975836-1662751</t>
  </si>
  <si>
    <t>Vindhyanagar, Singrauli</t>
  </si>
  <si>
    <t>404-5339654-8699521</t>
  </si>
  <si>
    <t>171-8807415-3796339</t>
  </si>
  <si>
    <t>Chittur</t>
  </si>
  <si>
    <t>406-2584311-5969914</t>
  </si>
  <si>
    <t>406-6248918-3078743</t>
  </si>
  <si>
    <t>Bathinda</t>
  </si>
  <si>
    <t>408-8830580-2178742</t>
  </si>
  <si>
    <t>403-7466394-6701159</t>
  </si>
  <si>
    <t>408-8156341-0265959</t>
  </si>
  <si>
    <t>403-5346372-0793900</t>
  </si>
  <si>
    <t>Irinjalakuda</t>
  </si>
  <si>
    <t>402-2452708-4896329</t>
  </si>
  <si>
    <t>406-7338347-7069951</t>
  </si>
  <si>
    <t>Doiwala</t>
  </si>
  <si>
    <t>406-0211892-0559536</t>
  </si>
  <si>
    <t>Rajpur Sonarpur</t>
  </si>
  <si>
    <t>171-7532609-3249907</t>
  </si>
  <si>
    <t>403-6043726-6721132</t>
  </si>
  <si>
    <t>407-1712596-4050755</t>
  </si>
  <si>
    <t>405-8411773-8229162</t>
  </si>
  <si>
    <t>407-7844529-5051537</t>
  </si>
  <si>
    <t>171-3775810-2345913</t>
  </si>
  <si>
    <t>171-9012771-7416351</t>
  </si>
  <si>
    <t>171-9136525-1911525</t>
  </si>
  <si>
    <t>407-6279695-7581901</t>
  </si>
  <si>
    <t>171-6817306-4265116</t>
  </si>
  <si>
    <t>405-7298234-3814730</t>
  </si>
  <si>
    <t>405-4771236-4811503</t>
  </si>
  <si>
    <t>405-2906637-7852340</t>
  </si>
  <si>
    <t>406-6316473-9375528</t>
  </si>
  <si>
    <t>402-1860368-5003561</t>
  </si>
  <si>
    <t>407-7120808-1351527</t>
  </si>
  <si>
    <t>Arsikere</t>
  </si>
  <si>
    <t>405-8385584-8498728</t>
  </si>
  <si>
    <t>Dungarpur</t>
  </si>
  <si>
    <t>404-8409362-0284368</t>
  </si>
  <si>
    <t>407-3508652-5836322</t>
  </si>
  <si>
    <t>403-7981359-9749924</t>
  </si>
  <si>
    <t>405-7938814-1087509</t>
  </si>
  <si>
    <t>171-5730087-9741116</t>
  </si>
  <si>
    <t>171-1008629-5178746</t>
  </si>
  <si>
    <t>Cuncolim</t>
  </si>
  <si>
    <t>407-1528185-7186758</t>
  </si>
  <si>
    <t>408-1908576-3189123</t>
  </si>
  <si>
    <t>408-8035303-1545928</t>
  </si>
  <si>
    <t>407-9696755-1240327</t>
  </si>
  <si>
    <t>402-1679192-6240356</t>
  </si>
  <si>
    <t>408-1564787-5856337</t>
  </si>
  <si>
    <t>407-3896824-6146758</t>
  </si>
  <si>
    <t>407-6528768-8929920</t>
  </si>
  <si>
    <t>408-5099210-1165148</t>
  </si>
  <si>
    <t>171-6350746-9007558</t>
  </si>
  <si>
    <t>Godhra</t>
  </si>
  <si>
    <t>405-6139036-4994745</t>
  </si>
  <si>
    <t>406-6549790-6262739</t>
  </si>
  <si>
    <t>404-1912718-8415550</t>
  </si>
  <si>
    <t>404-2345765-1785110</t>
  </si>
  <si>
    <t>Barabanki</t>
  </si>
  <si>
    <t>171-9054821-6610735</t>
  </si>
  <si>
    <t>Khatauli</t>
  </si>
  <si>
    <t>405-8065116-7629144</t>
  </si>
  <si>
    <t>408-2516921-3716311</t>
  </si>
  <si>
    <t>403-3759418-6709126</t>
  </si>
  <si>
    <t>408-4141277-0193956</t>
  </si>
  <si>
    <t>403-9333662-4662730</t>
  </si>
  <si>
    <t>Nandivaram Guduvancheri</t>
  </si>
  <si>
    <t>403-0771338-5988312</t>
  </si>
  <si>
    <t>Karkal</t>
  </si>
  <si>
    <t>402-6544214-3573969</t>
  </si>
  <si>
    <t>406-9213513-4800327</t>
  </si>
  <si>
    <t>405-0433643-1144349</t>
  </si>
  <si>
    <t>171-7430723-6787516</t>
  </si>
  <si>
    <t>408-2912274-2522734</t>
  </si>
  <si>
    <t>405-0023422-9779521</t>
  </si>
  <si>
    <t>Bermo</t>
  </si>
  <si>
    <t>408-7234922-1148318</t>
  </si>
  <si>
    <t>171-0490840-3053915</t>
  </si>
  <si>
    <t>171-6516243-3492354</t>
  </si>
  <si>
    <t>Hardoi</t>
  </si>
  <si>
    <t>171-7222033-5792320</t>
  </si>
  <si>
    <t>403-4347680-3239550</t>
  </si>
  <si>
    <t>171-6525563-8877103</t>
  </si>
  <si>
    <t>405-3186738-7721118</t>
  </si>
  <si>
    <t>403-1826402-9435560</t>
  </si>
  <si>
    <t>Changanacherry</t>
  </si>
  <si>
    <t>406-6667637-9966753</t>
  </si>
  <si>
    <t>406-8156230-5674718</t>
  </si>
  <si>
    <t>171-1728497-2329143</t>
  </si>
  <si>
    <t>407-1435458-1919510</t>
  </si>
  <si>
    <t>406-6913365-0861962</t>
  </si>
  <si>
    <t>171-2993620-5828353</t>
  </si>
  <si>
    <t>408-2359400-8260316</t>
  </si>
  <si>
    <t>406-1518551-8159546</t>
  </si>
  <si>
    <t>408-6485769-9061154</t>
  </si>
  <si>
    <t>404-2640683-8356316</t>
  </si>
  <si>
    <t>404-5332578-7605138</t>
  </si>
  <si>
    <t>408-7565589-4918732</t>
  </si>
  <si>
    <t>404-4011410-5805159</t>
  </si>
  <si>
    <t>407-7383664-4251535</t>
  </si>
  <si>
    <t>407-8020405-7634731</t>
  </si>
  <si>
    <t>Fatehpur</t>
  </si>
  <si>
    <t>402-8026142-9249964</t>
  </si>
  <si>
    <t>403-4670066-5206731</t>
  </si>
  <si>
    <t>407-8441117-8985143</t>
  </si>
  <si>
    <t>171-5347420-8465156</t>
  </si>
  <si>
    <t>402-2135883-0929113</t>
  </si>
  <si>
    <t>Sohna</t>
  </si>
  <si>
    <t>408-4711899-6544333</t>
  </si>
  <si>
    <t>402-1353336-2743504</t>
  </si>
  <si>
    <t>407-2333018-0219523</t>
  </si>
  <si>
    <t>Kanchipuram</t>
  </si>
  <si>
    <t>402-7346638-7916354</t>
  </si>
  <si>
    <t>404-8672033-7928356</t>
  </si>
  <si>
    <t>408-9222012-8687508</t>
  </si>
  <si>
    <t>404-2256348-5508312</t>
  </si>
  <si>
    <t>171-7378656-4945136</t>
  </si>
  <si>
    <t>404-0303558-0924362</t>
  </si>
  <si>
    <t>406-8358105-5972367</t>
  </si>
  <si>
    <t>407-3023807-2244342</t>
  </si>
  <si>
    <t>402-8951738-8744317</t>
  </si>
  <si>
    <t>406-6421898-2702741</t>
  </si>
  <si>
    <t>406-0366316-9300365</t>
  </si>
  <si>
    <t>408-0881227-1909157</t>
  </si>
  <si>
    <t>407-3188067-2032310</t>
  </si>
  <si>
    <t>402-3062922-7386738</t>
  </si>
  <si>
    <t>171-9851273-1489902</t>
  </si>
  <si>
    <t>408-1252191-5613126</t>
  </si>
  <si>
    <t>Rajkot</t>
  </si>
  <si>
    <t>404-0801054-7823531</t>
  </si>
  <si>
    <t>404-7262078-0821950</t>
  </si>
  <si>
    <t>407-6529033-8467555</t>
  </si>
  <si>
    <t>406-8454722-9951509</t>
  </si>
  <si>
    <t>Arrah</t>
  </si>
  <si>
    <t>403-8944992-1995506</t>
  </si>
  <si>
    <t>402-7298767-9017923</t>
  </si>
  <si>
    <t>Talegaon Dabhade</t>
  </si>
  <si>
    <t>406-1642344-8681967</t>
  </si>
  <si>
    <t>407-3289271-0591501</t>
  </si>
  <si>
    <t>408-0224438-4410712</t>
  </si>
  <si>
    <t>404-1154525-5590710</t>
  </si>
  <si>
    <t>404-8669517-8398769</t>
  </si>
  <si>
    <t>Tinsukia</t>
  </si>
  <si>
    <t>406-4894136-3187553</t>
  </si>
  <si>
    <t>Patiala</t>
  </si>
  <si>
    <t>404-6441994-0926721</t>
  </si>
  <si>
    <t>407-3857140-4855515</t>
  </si>
  <si>
    <t>405-1461081-8011538</t>
  </si>
  <si>
    <t>403-7515163-6761163</t>
  </si>
  <si>
    <t>403-0584759-6017139</t>
  </si>
  <si>
    <t>403-5237450-0177141</t>
  </si>
  <si>
    <t>406-5008235-5143521</t>
  </si>
  <si>
    <t>407-6214589-9425930</t>
  </si>
  <si>
    <t>403-3465545-9609165</t>
  </si>
  <si>
    <t>Calapor</t>
  </si>
  <si>
    <t>404-0390677-9835569</t>
  </si>
  <si>
    <t>Sardarshahar</t>
  </si>
  <si>
    <t>406-3680107-7864353</t>
  </si>
  <si>
    <t>406-2033412-3428322</t>
  </si>
  <si>
    <t>Muvattupuzha</t>
  </si>
  <si>
    <t>407-1477283-7097144</t>
  </si>
  <si>
    <t>404-0988834-5309963</t>
  </si>
  <si>
    <t>Anandpur Sahib</t>
  </si>
  <si>
    <t>408-4583329-2648319</t>
  </si>
  <si>
    <t>406-8936832-7080327</t>
  </si>
  <si>
    <t>406-9911191-2496369</t>
  </si>
  <si>
    <t>171-7773738-6873157</t>
  </si>
  <si>
    <t>405-9652389-5037110</t>
  </si>
  <si>
    <t>406-3312546-5081907</t>
  </si>
  <si>
    <t>Rangpo</t>
  </si>
  <si>
    <t>171-4251045-7058753</t>
  </si>
  <si>
    <t>403-7485773-0954712</t>
  </si>
  <si>
    <t>408-0986501-7261937</t>
  </si>
  <si>
    <t>403-3791898-1168357</t>
  </si>
  <si>
    <t>406-6685863-8898746</t>
  </si>
  <si>
    <t>Lakhimpur Kheri</t>
  </si>
  <si>
    <t>402-0345867-3597105</t>
  </si>
  <si>
    <t>Khambhat</t>
  </si>
  <si>
    <t>171-6911000-1977146</t>
  </si>
  <si>
    <t>406-8893631-9381900</t>
  </si>
  <si>
    <t>405-6796932-0639547</t>
  </si>
  <si>
    <t>405-0271059-1293107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</si>
</sst>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24" x14ac:knownFonts="1">
    <font>
      <sz val="11"/>
      <color theme="1"/>
      <name val="Calibri"/>
      <family val="2"/>
      <charset val="1"/>
    </font>
    <font>
      <b/>
      <sz val="20"/>
      <color rgb="FFFFFFFF"/>
      <name val="Calibri"/>
      <charset val="1"/>
    </font>
    <font>
      <i/>
      <sz val="10"/>
      <color rgb="FF595959"/>
      <name val="Calibri"/>
      <charset val="1"/>
    </font>
    <font>
      <b/>
      <sz val="9"/>
      <color rgb="FF1F3864"/>
      <name val="Calibri"/>
      <charset val="1"/>
    </font>
    <font>
      <b/>
      <sz val="9"/>
      <color rgb="FFC00000"/>
      <name val="Calibri"/>
      <charset val="1"/>
    </font>
    <font>
      <b/>
      <sz val="9"/>
      <color rgb="FF548235"/>
      <name val="Calibri"/>
      <charset val="1"/>
    </font>
    <font>
      <b/>
      <sz val="16"/>
      <color rgb="FF1F3864"/>
      <name val="Calibri"/>
      <charset val="1"/>
    </font>
    <font>
      <b/>
      <sz val="16"/>
      <color rgb="FFC00000"/>
      <name val="Calibri"/>
      <charset val="1"/>
    </font>
    <font>
      <b/>
      <sz val="16"/>
      <color rgb="FF548235"/>
      <name val="Calibri"/>
      <charset val="1"/>
    </font>
    <font>
      <b/>
      <sz val="16"/>
      <color rgb="FFFFFFFF"/>
      <name val="Calibri"/>
      <charset val="1"/>
    </font>
    <font>
      <i/>
      <sz val="9.5"/>
      <color rgb="FF595959"/>
      <name val="Calibri"/>
      <charset val="1"/>
    </font>
    <font>
      <b/>
      <sz val="13"/>
      <color rgb="FFFFFFFF"/>
      <name val="Calibri"/>
      <charset val="1"/>
    </font>
    <font>
      <b/>
      <sz val="10.5"/>
      <color rgb="FFC00000"/>
      <name val="Calibri"/>
      <charset val="1"/>
    </font>
    <font>
      <sz val="10.5"/>
      <name val="Calibri"/>
      <charset val="1"/>
    </font>
    <font>
      <b/>
      <sz val="10.5"/>
      <color rgb="FF1F3864"/>
      <name val="Calibri"/>
      <charset val="1"/>
    </font>
    <font>
      <b/>
      <sz val="10.5"/>
      <color rgb="FF548235"/>
      <name val="Calibri"/>
      <charset val="1"/>
    </font>
    <font>
      <b/>
      <sz val="10.5"/>
      <color rgb="FFBF8F00"/>
      <name val="Calibri"/>
      <charset val="1"/>
    </font>
    <font>
      <b/>
      <sz val="12"/>
      <color rgb="FF1F3864"/>
      <name val="Calibri"/>
      <charset val="1"/>
    </font>
    <font>
      <b/>
      <sz val="10"/>
      <color rgb="FFFFFFFF"/>
      <name val="Calibri"/>
      <charset val="1"/>
    </font>
    <font>
      <sz val="10"/>
      <name val="Calibri"/>
      <charset val="1"/>
    </font>
    <font>
      <b/>
      <sz val="10"/>
      <name val="Calibri"/>
      <charset val="1"/>
    </font>
    <font>
      <b/>
      <sz val="11"/>
      <name val="Calibri"/>
      <charset val="1"/>
    </font>
    <font>
      <b/>
      <sz val="10"/>
      <color rgb="FF1F497D"/>
      <name val="Calibri"/>
    </font>
    <font>
      <b/>
      <sz val="10"/>
      <color rgb="FF002060"/>
      <name val="Calibri"/>
    </font>
  </fonts>
  <fills count="8">
    <fill>
      <patternFill patternType="none"/>
    </fill>
    <fill>
      <patternFill patternType="gray125"/>
    </fill>
    <fill>
      <patternFill patternType="solid">
        <fgColor rgb="FF1F3864"/>
        <bgColor rgb="FF2E5395"/>
      </patternFill>
    </fill>
    <fill>
      <patternFill patternType="solid">
        <fgColor rgb="FFDCE6F1"/>
        <bgColor rgb="FFE2EFDA"/>
      </patternFill>
    </fill>
    <fill>
      <patternFill patternType="solid">
        <fgColor rgb="FFFCE4E4"/>
        <bgColor rgb="FFFFF2CC"/>
      </patternFill>
    </fill>
    <fill>
      <patternFill patternType="solid">
        <fgColor rgb="FFE2EFDA"/>
        <bgColor rgb="FFDCE6F1"/>
      </patternFill>
    </fill>
    <fill>
      <patternFill patternType="solid">
        <fgColor rgb="FFFFF2CC"/>
        <bgColor rgb="FFFCE4E4"/>
      </patternFill>
    </fill>
    <fill>
      <patternFill patternType="solid">
        <fgColor rgb="FFD9E1F2"/>
        <bgColor rgb="FFD9E1F2"/>
      </patternFill>
    </fill>
  </fills>
  <borders count="10">
    <border>
      <left/>
      <right/>
      <top/>
      <bottom/>
      <diagonal/>
    </border>
    <border>
      <left style="thin">
        <color rgb="FFFFFFFF"/>
      </left>
      <right style="thin">
        <color rgb="FFFFFFFF"/>
      </right>
      <top style="thin">
        <color rgb="FFFFFFFF"/>
      </top>
      <bottom style="thin">
        <color rgb="FFFFFFFF"/>
      </bottom>
      <diagonal/>
    </border>
    <border>
      <left style="thin">
        <color rgb="FFB7C6E0"/>
      </left>
      <right style="thin">
        <color rgb="FFB7C6E0"/>
      </right>
      <top style="thin">
        <color rgb="FFB7C6E0"/>
      </top>
      <bottom style="thin">
        <color rgb="FFB7C6E0"/>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style="thin">
        <color rgb="FFFFFFFF"/>
      </right>
      <top/>
      <bottom style="thin">
        <color rgb="FFFFFFFF"/>
      </bottom>
      <diagonal/>
    </border>
    <border>
      <left style="thin">
        <color rgb="FF8EA9DB"/>
      </left>
      <right style="thin">
        <color rgb="FF8EA9DB"/>
      </right>
      <top style="thin">
        <color rgb="FF8EA9DB"/>
      </top>
      <bottom style="thin">
        <color rgb="FF8EA9DB"/>
      </bottom>
      <diagonal/>
    </border>
  </borders>
  <cellStyleXfs count="1">
    <xf numFmtId="0" fontId="0" fillId="0" borderId="0"/>
  </cellStyleXfs>
  <cellXfs count="42">
    <xf numFmtId="0" fontId="0" fillId="0" borderId="0" xfId="0"/>
    <xf numFmtId="0" fontId="17" fillId="0" borderId="0" xfId="0" applyFont="1"/>
    <xf numFmtId="0" fontId="18" fillId="2" borderId="2" xfId="0" applyFont="1" applyFill="1" applyBorder="1" applyAlignment="1">
      <alignment horizontal="center" vertical="center" wrapText="1"/>
    </xf>
    <xf numFmtId="0" fontId="19" fillId="0" borderId="2" xfId="0" applyFont="1" applyBorder="1" applyAlignment="1">
      <alignment horizontal="center"/>
    </xf>
    <xf numFmtId="3" fontId="19" fillId="0" borderId="2" xfId="0" applyNumberFormat="1" applyFont="1" applyBorder="1" applyAlignment="1">
      <alignment horizontal="center"/>
    </xf>
    <xf numFmtId="164" fontId="19" fillId="0" borderId="2" xfId="0" applyNumberFormat="1" applyFont="1" applyBorder="1" applyAlignment="1">
      <alignment horizontal="center"/>
    </xf>
    <xf numFmtId="3" fontId="20" fillId="0" borderId="2" xfId="0" applyNumberFormat="1" applyFont="1" applyBorder="1" applyAlignment="1">
      <alignment horizontal="center"/>
    </xf>
    <xf numFmtId="164" fontId="20" fillId="0" borderId="2" xfId="0" applyNumberFormat="1" applyFont="1" applyBorder="1" applyAlignment="1">
      <alignment horizontal="center"/>
    </xf>
    <xf numFmtId="0" fontId="18" fillId="2" borderId="0" xfId="0" applyFont="1" applyFill="1" applyAlignment="1">
      <alignment horizontal="center" vertical="center" wrapText="1"/>
    </xf>
    <xf numFmtId="0" fontId="21" fillId="0" borderId="0" xfId="0" applyFont="1"/>
    <xf numFmtId="165" fontId="0" fillId="0" borderId="0" xfId="0" applyNumberFormat="1"/>
    <xf numFmtId="3" fontId="0" fillId="0" borderId="0" xfId="0" applyNumberFormat="1"/>
    <xf numFmtId="0" fontId="0" fillId="0" borderId="0" xfId="0" applyAlignment="1">
      <alignment vertical="top" wrapText="1"/>
    </xf>
    <xf numFmtId="0" fontId="22" fillId="0" borderId="0" xfId="0" applyFont="1" applyAlignment="1">
      <alignment horizontal="right" vertical="center"/>
    </xf>
    <xf numFmtId="0" fontId="23" fillId="7" borderId="9"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2" fillId="0" borderId="0" xfId="0" applyFont="1" applyAlignment="1">
      <alignment horizontal="center"/>
    </xf>
    <xf numFmtId="3" fontId="7" fillId="4" borderId="1" xfId="0" applyNumberFormat="1" applyFont="1" applyFill="1" applyBorder="1" applyAlignment="1">
      <alignment horizontal="center" vertical="center"/>
    </xf>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3" fontId="6" fillId="3" borderId="1" xfId="0" applyNumberFormat="1" applyFont="1" applyFill="1" applyBorder="1" applyAlignment="1">
      <alignment horizontal="center" vertical="center"/>
    </xf>
    <xf numFmtId="0" fontId="4" fillId="4" borderId="1" xfId="0" applyFont="1" applyFill="1" applyBorder="1" applyAlignment="1">
      <alignment horizontal="center" vertical="center" wrapText="1"/>
    </xf>
    <xf numFmtId="0" fontId="0" fillId="0" borderId="4" xfId="0" applyBorder="1"/>
    <xf numFmtId="0" fontId="3"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164" fontId="7" fillId="4" borderId="1" xfId="0" applyNumberFormat="1" applyFont="1" applyFill="1" applyBorder="1" applyAlignment="1">
      <alignment horizontal="center" vertical="center"/>
    </xf>
    <xf numFmtId="3" fontId="8" fillId="5" borderId="1" xfId="0" applyNumberFormat="1" applyFont="1" applyFill="1" applyBorder="1" applyAlignment="1">
      <alignment horizontal="center" vertical="center"/>
    </xf>
    <xf numFmtId="0" fontId="11" fillId="2" borderId="0" xfId="0" applyFont="1" applyFill="1" applyAlignment="1">
      <alignment horizontal="left" vertical="center" indent="1"/>
    </xf>
    <xf numFmtId="0" fontId="13" fillId="6" borderId="0" xfId="0" applyFont="1" applyFill="1" applyAlignment="1">
      <alignment horizontal="left" vertical="top" wrapText="1" indent="1"/>
    </xf>
    <xf numFmtId="0" fontId="9" fillId="2" borderId="0" xfId="0" applyFont="1" applyFill="1" applyAlignment="1">
      <alignment horizontal="left" vertical="center" indent="1"/>
    </xf>
    <xf numFmtId="0" fontId="13" fillId="4" borderId="0" xfId="0" applyFont="1" applyFill="1" applyAlignment="1">
      <alignment horizontal="left" vertical="top" wrapText="1" indent="1"/>
    </xf>
    <xf numFmtId="0" fontId="14" fillId="3" borderId="0" xfId="0" applyFont="1" applyFill="1" applyAlignment="1">
      <alignment horizontal="left" vertical="center" indent="1"/>
    </xf>
    <xf numFmtId="0" fontId="13" fillId="5" borderId="0" xfId="0" applyFont="1" applyFill="1" applyAlignment="1">
      <alignment horizontal="left" vertical="top" wrapText="1" indent="1"/>
    </xf>
    <xf numFmtId="0" fontId="13" fillId="3" borderId="0" xfId="0" applyFont="1" applyFill="1" applyAlignment="1">
      <alignment horizontal="left" vertical="top" wrapText="1" indent="1"/>
    </xf>
    <xf numFmtId="0" fontId="10" fillId="0" borderId="0" xfId="0" applyFont="1"/>
    <xf numFmtId="0" fontId="12" fillId="4" borderId="0" xfId="0" applyFont="1" applyFill="1" applyAlignment="1">
      <alignment horizontal="left" vertical="center" indent="1"/>
    </xf>
    <xf numFmtId="0" fontId="15" fillId="5" borderId="0" xfId="0" applyFont="1" applyFill="1" applyAlignment="1">
      <alignment horizontal="left" vertical="center" indent="1"/>
    </xf>
    <xf numFmtId="0" fontId="16" fillId="6"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C6E0"/>
      <rgbColor rgb="FF808080"/>
      <rgbColor rgb="FF9999FF"/>
      <rgbColor rgb="FFC0504D"/>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4F81BD"/>
      <rgbColor rgb="FF4BACC6"/>
      <rgbColor rgb="FF9BBB59"/>
      <rgbColor rgb="FFFFCC00"/>
      <rgbColor rgb="FFBF8F00"/>
      <rgbColor rgb="FFFF6600"/>
      <rgbColor rgb="FF8064A2"/>
      <rgbColor rgb="FFB3B3B3"/>
      <rgbColor rgb="FF1F3864"/>
      <rgbColor rgb="FF339966"/>
      <rgbColor rgb="FF003300"/>
      <rgbColor rgb="FF333300"/>
      <rgbColor rgb="FF993300"/>
      <rgbColor rgb="FF993366"/>
      <rgbColor rgb="FF2E5395"/>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Monthly Net Revenue Trend (₹)</a:t>
            </a:r>
          </a:p>
        </c:rich>
      </c:tx>
      <c:overlay val="0"/>
      <c:spPr>
        <a:noFill/>
        <a:ln w="0">
          <a:noFill/>
          <a:prstDash val="solid"/>
        </a:ln>
      </c:spPr>
    </c:title>
    <c:autoTitleDeleted val="0"/>
    <c:plotArea>
      <c:layout/>
      <c:lineChart>
        <c:grouping val="standard"/>
        <c:varyColors val="0"/>
        <c:ser>
          <c:idx val="0"/>
          <c:order val="0"/>
          <c:tx>
            <c:strRef>
              <c:f>Analysis!$B$3</c:f>
              <c:strCache>
                <c:ptCount val="1"/>
                <c:pt idx="0">
                  <c:v>Net Revenue</c:v>
                </c:pt>
              </c:strCache>
            </c:strRef>
          </c:tx>
          <c:spPr>
            <a:ln w="24840">
              <a:solidFill>
                <a:srgbClr val="1F3864"/>
              </a:solidFill>
              <a:prstDash val="solid"/>
              <a:round/>
            </a:ln>
          </c:spPr>
          <c:marker>
            <c:symbol val="none"/>
          </c:marker>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Analysis!$A$4:$A$11</c:f>
              <c:strCache>
                <c:ptCount val="8"/>
                <c:pt idx="0">
                  <c:v>Jan</c:v>
                </c:pt>
                <c:pt idx="1">
                  <c:v>Feb</c:v>
                </c:pt>
                <c:pt idx="2">
                  <c:v>Mar</c:v>
                </c:pt>
                <c:pt idx="3">
                  <c:v>Apr</c:v>
                </c:pt>
                <c:pt idx="4">
                  <c:v>May</c:v>
                </c:pt>
                <c:pt idx="5">
                  <c:v>Jun</c:v>
                </c:pt>
                <c:pt idx="6">
                  <c:v>Jul</c:v>
                </c:pt>
                <c:pt idx="7">
                  <c:v>Aug</c:v>
                </c:pt>
              </c:strCache>
            </c:strRef>
          </c:cat>
          <c:val>
            <c:numRef>
              <c:f>Analysis!$B$4:$B$11</c:f>
              <c:numCache>
                <c:formatCode>#,##0</c:formatCode>
                <c:ptCount val="8"/>
                <c:pt idx="0">
                  <c:v>0</c:v>
                </c:pt>
                <c:pt idx="1">
                  <c:v>0</c:v>
                </c:pt>
                <c:pt idx="2">
                  <c:v>0</c:v>
                </c:pt>
                <c:pt idx="3">
                  <c:v>0</c:v>
                </c:pt>
                <c:pt idx="4">
                  <c:v>0</c:v>
                </c:pt>
                <c:pt idx="5">
                  <c:v>0</c:v>
                </c:pt>
                <c:pt idx="6">
                  <c:v>192200</c:v>
                </c:pt>
                <c:pt idx="7">
                  <c:v>0</c:v>
                </c:pt>
              </c:numCache>
            </c:numRef>
          </c:val>
          <c:smooth val="0"/>
          <c:extLst>
            <c:ext xmlns:c16="http://schemas.microsoft.com/office/drawing/2014/chart" uri="{C3380CC4-5D6E-409C-BE32-E72D297353CC}">
              <c16:uniqueId val="{00000000-53EB-404B-91AD-66DBC88819D3}"/>
            </c:ext>
          </c:extLst>
        </c:ser>
        <c:dLbls>
          <c:showLegendKey val="0"/>
          <c:showVal val="0"/>
          <c:showCatName val="0"/>
          <c:showSerName val="0"/>
          <c:showPercent val="0"/>
          <c:showBubbleSize val="0"/>
        </c:dLbls>
        <c:hiLowLines>
          <c:spPr>
            <a:ln w="0">
              <a:noFill/>
              <a:prstDash val="solid"/>
            </a:ln>
          </c:spPr>
        </c:hiLowLines>
        <c:smooth val="0"/>
        <c:axId val="28536247"/>
        <c:axId val="46969275"/>
      </c:lineChart>
      <c:catAx>
        <c:axId val="28536247"/>
        <c:scaling>
          <c:orientation val="minMax"/>
        </c:scaling>
        <c:delete val="0"/>
        <c:axPos val="b"/>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6969275"/>
        <c:crosses val="autoZero"/>
        <c:auto val="1"/>
        <c:lblAlgn val="ctr"/>
        <c:lblOffset val="100"/>
        <c:noMultiLvlLbl val="0"/>
      </c:catAx>
      <c:valAx>
        <c:axId val="46969275"/>
        <c:scaling>
          <c:orientation val="minMax"/>
        </c:scaling>
        <c:delete val="0"/>
        <c:axPos val="l"/>
        <c:numFmt formatCode="#,##0"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8536247"/>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Net Revenue by Customer Channel (₹)</a:t>
            </a:r>
          </a:p>
        </c:rich>
      </c:tx>
      <c:overlay val="0"/>
      <c:spPr>
        <a:noFill/>
        <a:ln w="0">
          <a:noFill/>
          <a:prstDash val="solid"/>
        </a:ln>
      </c:spPr>
    </c:title>
    <c:autoTitleDeleted val="0"/>
    <c:plotArea>
      <c:layout/>
      <c:barChart>
        <c:barDir val="bar"/>
        <c:grouping val="clustered"/>
        <c:varyColors val="0"/>
        <c:ser>
          <c:idx val="0"/>
          <c:order val="0"/>
          <c:tx>
            <c:strRef>
              <c:f>Analysis!$C$14</c:f>
              <c:strCache>
                <c:ptCount val="1"/>
                <c:pt idx="0">
                  <c:v>Net Revenue</c:v>
                </c:pt>
              </c:strCache>
            </c:strRef>
          </c:tx>
          <c:spPr>
            <a:solidFill>
              <a:srgbClr val="2E5395"/>
            </a:solidFill>
            <a:ln w="0">
              <a:noFill/>
              <a:prstDash val="soli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Analysis!$A$15:$A$21</c:f>
              <c:strCache>
                <c:ptCount val="7"/>
                <c:pt idx="0">
                  <c:v>End User</c:v>
                </c:pt>
                <c:pt idx="1">
                  <c:v>Shop Owner</c:v>
                </c:pt>
                <c:pt idx="2">
                  <c:v>Master Trainer</c:v>
                </c:pt>
                <c:pt idx="3">
                  <c:v>Trainer</c:v>
                </c:pt>
                <c:pt idx="4">
                  <c:v>Gym Pro Shop</c:v>
                </c:pt>
                <c:pt idx="5">
                  <c:v>Influencer</c:v>
                </c:pt>
                <c:pt idx="6">
                  <c:v>Promoter</c:v>
                </c:pt>
              </c:strCache>
            </c:strRef>
          </c:cat>
          <c:val>
            <c:numRef>
              <c:f>Analysis!$C$15:$C$21</c:f>
              <c:numCache>
                <c:formatCode>#,##0</c:formatCode>
                <c:ptCount val="7"/>
                <c:pt idx="0">
                  <c:v>11000</c:v>
                </c:pt>
                <c:pt idx="1">
                  <c:v>0</c:v>
                </c:pt>
                <c:pt idx="2">
                  <c:v>17700</c:v>
                </c:pt>
                <c:pt idx="3">
                  <c:v>160000</c:v>
                </c:pt>
                <c:pt idx="4">
                  <c:v>0</c:v>
                </c:pt>
                <c:pt idx="5">
                  <c:v>52400</c:v>
                </c:pt>
                <c:pt idx="6">
                  <c:v>97700</c:v>
                </c:pt>
              </c:numCache>
            </c:numRef>
          </c:val>
          <c:extLst>
            <c:ext xmlns:c16="http://schemas.microsoft.com/office/drawing/2014/chart" uri="{C3380CC4-5D6E-409C-BE32-E72D297353CC}">
              <c16:uniqueId val="{00000000-6353-4DDF-8BAE-2BED196F8ED0}"/>
            </c:ext>
          </c:extLst>
        </c:ser>
        <c:dLbls>
          <c:showLegendKey val="0"/>
          <c:showVal val="0"/>
          <c:showCatName val="0"/>
          <c:showSerName val="0"/>
          <c:showPercent val="0"/>
          <c:showBubbleSize val="0"/>
        </c:dLbls>
        <c:gapWidth val="150"/>
        <c:axId val="53877437"/>
        <c:axId val="74420491"/>
      </c:barChart>
      <c:catAx>
        <c:axId val="53877437"/>
        <c:scaling>
          <c:orientation val="minMax"/>
        </c:scaling>
        <c:delete val="0"/>
        <c:axPos val="l"/>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4420491"/>
        <c:crosses val="autoZero"/>
        <c:auto val="1"/>
        <c:lblAlgn val="ctr"/>
        <c:lblOffset val="100"/>
        <c:noMultiLvlLbl val="0"/>
      </c:catAx>
      <c:valAx>
        <c:axId val="74420491"/>
        <c:scaling>
          <c:orientation val="minMax"/>
        </c:scaling>
        <c:delete val="0"/>
        <c:axPos val="b"/>
        <c:numFmt formatCode="#,##0"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53877437"/>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Revenue Share by Category</a:t>
            </a:r>
          </a:p>
        </c:rich>
      </c:tx>
      <c:overlay val="0"/>
      <c:spPr>
        <a:noFill/>
        <a:ln w="0">
          <a:noFill/>
          <a:prstDash val="solid"/>
        </a:ln>
      </c:spPr>
    </c:title>
    <c:autoTitleDeleted val="0"/>
    <c:plotArea>
      <c:layout/>
      <c:pieChart>
        <c:varyColors val="1"/>
        <c:ser>
          <c:idx val="0"/>
          <c:order val="0"/>
          <c:tx>
            <c:strRef>
              <c:f>Analysis!$B$24</c:f>
              <c:strCache>
                <c:ptCount val="1"/>
                <c:pt idx="0">
                  <c:v>Net Revenue</c:v>
                </c:pt>
              </c:strCache>
            </c:strRef>
          </c:tx>
          <c:spPr>
            <a:solidFill>
              <a:srgbClr val="4F81BD"/>
            </a:solidFill>
            <a:ln w="0">
              <a:noFill/>
              <a:prstDash val="solid"/>
            </a:ln>
          </c:spPr>
          <c:dPt>
            <c:idx val="0"/>
            <c:bubble3D val="0"/>
            <c:extLst>
              <c:ext xmlns:c16="http://schemas.microsoft.com/office/drawing/2014/chart" uri="{C3380CC4-5D6E-409C-BE32-E72D297353CC}">
                <c16:uniqueId val="{00000001-1E6F-4FBA-B48A-7393DEDF5E17}"/>
              </c:ext>
            </c:extLst>
          </c:dPt>
          <c:dPt>
            <c:idx val="1"/>
            <c:bubble3D val="0"/>
            <c:spPr>
              <a:solidFill>
                <a:srgbClr val="C0504D"/>
              </a:solidFill>
              <a:ln w="0">
                <a:noFill/>
                <a:prstDash val="solid"/>
              </a:ln>
            </c:spPr>
            <c:extLst>
              <c:ext xmlns:c16="http://schemas.microsoft.com/office/drawing/2014/chart" uri="{C3380CC4-5D6E-409C-BE32-E72D297353CC}">
                <c16:uniqueId val="{00000003-1E6F-4FBA-B48A-7393DEDF5E17}"/>
              </c:ext>
            </c:extLst>
          </c:dPt>
          <c:dPt>
            <c:idx val="2"/>
            <c:bubble3D val="0"/>
            <c:spPr>
              <a:solidFill>
                <a:srgbClr val="9BBB59"/>
              </a:solidFill>
              <a:ln w="0">
                <a:noFill/>
                <a:prstDash val="solid"/>
              </a:ln>
            </c:spPr>
            <c:extLst>
              <c:ext xmlns:c16="http://schemas.microsoft.com/office/drawing/2014/chart" uri="{C3380CC4-5D6E-409C-BE32-E72D297353CC}">
                <c16:uniqueId val="{00000005-1E6F-4FBA-B48A-7393DEDF5E17}"/>
              </c:ext>
            </c:extLst>
          </c:dPt>
          <c:dPt>
            <c:idx val="3"/>
            <c:bubble3D val="0"/>
            <c:spPr>
              <a:solidFill>
                <a:srgbClr val="8064A2"/>
              </a:solidFill>
              <a:ln w="0">
                <a:noFill/>
                <a:prstDash val="solid"/>
              </a:ln>
            </c:spPr>
            <c:extLst>
              <c:ext xmlns:c16="http://schemas.microsoft.com/office/drawing/2014/chart" uri="{C3380CC4-5D6E-409C-BE32-E72D297353CC}">
                <c16:uniqueId val="{00000007-1E6F-4FBA-B48A-7393DEDF5E17}"/>
              </c:ext>
            </c:extLst>
          </c:dPt>
          <c:dPt>
            <c:idx val="4"/>
            <c:bubble3D val="0"/>
            <c:spPr>
              <a:solidFill>
                <a:srgbClr val="4BACC6"/>
              </a:solidFill>
              <a:ln w="0">
                <a:noFill/>
                <a:prstDash val="solid"/>
              </a:ln>
            </c:spPr>
            <c:extLst>
              <c:ext xmlns:c16="http://schemas.microsoft.com/office/drawing/2014/chart" uri="{C3380CC4-5D6E-409C-BE32-E72D297353CC}">
                <c16:uniqueId val="{00000009-1E6F-4FBA-B48A-7393DEDF5E17}"/>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1-1E6F-4FBA-B48A-7393DEDF5E17}"/>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3-1E6F-4FBA-B48A-7393DEDF5E17}"/>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5-1E6F-4FBA-B48A-7393DEDF5E17}"/>
                </c:ext>
              </c:extLst>
            </c:dLbl>
            <c:dLbl>
              <c:idx val="3"/>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7-1E6F-4FBA-B48A-7393DEDF5E17}"/>
                </c:ext>
              </c:extLst>
            </c:dLbl>
            <c:dLbl>
              <c:idx val="4"/>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9-1E6F-4FBA-B48A-7393DEDF5E17}"/>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strRef>
              <c:f>Analysis!$A$25:$A$29</c:f>
              <c:strCache>
                <c:ptCount val="5"/>
                <c:pt idx="0">
                  <c:v>Isolate</c:v>
                </c:pt>
                <c:pt idx="1">
                  <c:v>Hydrolised</c:v>
                </c:pt>
                <c:pt idx="2">
                  <c:v>Concentrate</c:v>
                </c:pt>
                <c:pt idx="3">
                  <c:v>Blend</c:v>
                </c:pt>
                <c:pt idx="4">
                  <c:v>Gainer</c:v>
                </c:pt>
              </c:strCache>
            </c:strRef>
          </c:cat>
          <c:val>
            <c:numRef>
              <c:f>Analysis!$B$25:$B$29</c:f>
              <c:numCache>
                <c:formatCode>#,##0</c:formatCode>
                <c:ptCount val="5"/>
                <c:pt idx="0">
                  <c:v>13200</c:v>
                </c:pt>
                <c:pt idx="1">
                  <c:v>0</c:v>
                </c:pt>
                <c:pt idx="2">
                  <c:v>178400</c:v>
                </c:pt>
                <c:pt idx="3">
                  <c:v>0</c:v>
                </c:pt>
                <c:pt idx="4">
                  <c:v>0</c:v>
                </c:pt>
              </c:numCache>
            </c:numRef>
          </c:val>
          <c:extLst>
            <c:ext xmlns:c16="http://schemas.microsoft.com/office/drawing/2014/chart" uri="{C3380CC4-5D6E-409C-BE32-E72D297353CC}">
              <c16:uniqueId val="{0000000A-1E6F-4FBA-B48A-7393DEDF5E17}"/>
            </c:ext>
          </c:extLst>
        </c:ser>
        <c:dLbls>
          <c:showLegendKey val="0"/>
          <c:showVal val="0"/>
          <c:showCatName val="0"/>
          <c:showSerName val="0"/>
          <c:showPercent val="0"/>
          <c:showBubbleSize val="0"/>
          <c:showLeaderLines val="1"/>
        </c:dLbls>
        <c:firstSliceAng val="0"/>
      </c:pieChart>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Top 10 Cities by Net Revenue (₹)</a:t>
            </a:r>
          </a:p>
        </c:rich>
      </c:tx>
      <c:overlay val="0"/>
      <c:spPr>
        <a:noFill/>
        <a:ln w="0">
          <a:noFill/>
          <a:prstDash val="solid"/>
        </a:ln>
      </c:spPr>
    </c:title>
    <c:autoTitleDeleted val="0"/>
    <c:plotArea>
      <c:layout/>
      <c:barChart>
        <c:barDir val="bar"/>
        <c:grouping val="clustered"/>
        <c:varyColors val="0"/>
        <c:ser>
          <c:idx val="0"/>
          <c:order val="0"/>
          <c:tx>
            <c:strRef>
              <c:f>Analysis!$B$32</c:f>
              <c:strCache>
                <c:ptCount val="1"/>
                <c:pt idx="0">
                  <c:v>Net Revenue</c:v>
                </c:pt>
              </c:strCache>
            </c:strRef>
          </c:tx>
          <c:spPr>
            <a:solidFill>
              <a:srgbClr val="548235"/>
            </a:solidFill>
            <a:ln w="0">
              <a:noFill/>
              <a:prstDash val="soli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Analysis!$A$33:$A$42</c:f>
              <c:strCache>
                <c:ptCount val="10"/>
                <c:pt idx="0">
                  <c:v>Bengaluru</c:v>
                </c:pt>
                <c:pt idx="1">
                  <c:v>Hyderabad</c:v>
                </c:pt>
                <c:pt idx="2">
                  <c:v>New Delhi</c:v>
                </c:pt>
                <c:pt idx="3">
                  <c:v>Chennai</c:v>
                </c:pt>
                <c:pt idx="4">
                  <c:v>Mumbai</c:v>
                </c:pt>
                <c:pt idx="5">
                  <c:v>Kolkata</c:v>
                </c:pt>
                <c:pt idx="6">
                  <c:v>Pune</c:v>
                </c:pt>
                <c:pt idx="7">
                  <c:v>Lucknow</c:v>
                </c:pt>
                <c:pt idx="8">
                  <c:v>Navi Mumbai</c:v>
                </c:pt>
                <c:pt idx="9">
                  <c:v>Gurugram</c:v>
                </c:pt>
              </c:strCache>
            </c:strRef>
          </c:cat>
          <c:val>
            <c:numRef>
              <c:f>Analysis!$B$33:$B$42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0B2-46E0-8988-1A95F4F759B0}"/>
            </c:ext>
          </c:extLst>
        </c:ser>
        <c:dLbls>
          <c:showLegendKey val="0"/>
          <c:showVal val="0"/>
          <c:showCatName val="0"/>
          <c:showSerName val="0"/>
          <c:showPercent val="0"/>
          <c:showBubbleSize val="0"/>
        </c:dLbls>
        <c:gapWidth val="150"/>
        <c:axId val="74363220"/>
        <c:axId val="81513779"/>
      </c:barChart>
      <c:catAx>
        <c:axId val="74363220"/>
        <c:scaling>
          <c:orientation val="minMax"/>
        </c:scaling>
        <c:delete val="0"/>
        <c:axPos val="l"/>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81513779"/>
        <c:crosses val="autoZero"/>
        <c:auto val="1"/>
        <c:lblAlgn val="ctr"/>
        <c:lblOffset val="100"/>
        <c:noMultiLvlLbl val="0"/>
      </c:catAx>
      <c:valAx>
        <c:axId val="81513779"/>
        <c:scaling>
          <c:orientation val="minMax"/>
        </c:scaling>
        <c:delete val="0"/>
        <c:axPos val="b"/>
        <c:numFmt formatCode="#,##0"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436322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Net Revenue by Age Segment &amp; Gender (₹)</a:t>
            </a:r>
          </a:p>
        </c:rich>
      </c:tx>
      <c:overlay val="0"/>
      <c:spPr>
        <a:noFill/>
        <a:ln w="0">
          <a:noFill/>
          <a:prstDash val="solid"/>
        </a:ln>
      </c:spPr>
    </c:title>
    <c:autoTitleDeleted val="0"/>
    <c:plotArea>
      <c:layout/>
      <c:barChart>
        <c:barDir val="col"/>
        <c:grouping val="clustered"/>
        <c:varyColors val="0"/>
        <c:ser>
          <c:idx val="0"/>
          <c:order val="0"/>
          <c:tx>
            <c:strRef>
              <c:f>Analysis!$B$44</c:f>
              <c:strCache>
                <c:ptCount val="1"/>
                <c:pt idx="0">
                  <c:v>Men Revenue</c:v>
                </c:pt>
              </c:strCache>
            </c:strRef>
          </c:tx>
          <c:spPr>
            <a:solidFill>
              <a:srgbClr val="4F81BD"/>
            </a:solidFill>
            <a:ln w="0">
              <a:noFill/>
              <a:prstDash val="soli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Analysis!$A$45:$A$47</c:f>
              <c:strCache>
                <c:ptCount val="3"/>
                <c:pt idx="0">
                  <c:v>18-29</c:v>
                </c:pt>
                <c:pt idx="1">
                  <c:v>30-49</c:v>
                </c:pt>
                <c:pt idx="2">
                  <c:v>50+</c:v>
                </c:pt>
              </c:strCache>
            </c:strRef>
          </c:cat>
          <c:val>
            <c:numRef>
              <c:f>Analysis!$B$45:$B$47</c:f>
              <c:numCache>
                <c:formatCode>#,##0</c:formatCode>
                <c:ptCount val="3"/>
                <c:pt idx="0">
                  <c:v>0</c:v>
                </c:pt>
                <c:pt idx="1">
                  <c:v>0</c:v>
                </c:pt>
                <c:pt idx="2">
                  <c:v>0</c:v>
                </c:pt>
              </c:numCache>
            </c:numRef>
          </c:val>
          <c:extLst>
            <c:ext xmlns:c16="http://schemas.microsoft.com/office/drawing/2014/chart" uri="{C3380CC4-5D6E-409C-BE32-E72D297353CC}">
              <c16:uniqueId val="{00000000-CDA9-4E52-BE46-74C9D6D3C189}"/>
            </c:ext>
          </c:extLst>
        </c:ser>
        <c:ser>
          <c:idx val="1"/>
          <c:order val="1"/>
          <c:tx>
            <c:strRef>
              <c:f>Analysis!$C$44</c:f>
              <c:strCache>
                <c:ptCount val="1"/>
                <c:pt idx="0">
                  <c:v>Women Revenue</c:v>
                </c:pt>
              </c:strCache>
            </c:strRef>
          </c:tx>
          <c:spPr>
            <a:solidFill>
              <a:srgbClr val="C0504D"/>
            </a:solidFill>
            <a:ln w="0">
              <a:noFill/>
              <a:prstDash val="soli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Analysis!$A$45:$A$47</c:f>
              <c:strCache>
                <c:ptCount val="3"/>
                <c:pt idx="0">
                  <c:v>18-29</c:v>
                </c:pt>
                <c:pt idx="1">
                  <c:v>30-49</c:v>
                </c:pt>
                <c:pt idx="2">
                  <c:v>50+</c:v>
                </c:pt>
              </c:strCache>
            </c:strRef>
          </c:cat>
          <c:val>
            <c:numRef>
              <c:f>Analysis!$C$45:$C$47</c:f>
              <c:numCache>
                <c:formatCode>#,##0</c:formatCode>
                <c:ptCount val="3"/>
                <c:pt idx="0">
                  <c:v>0</c:v>
                </c:pt>
                <c:pt idx="1">
                  <c:v>0</c:v>
                </c:pt>
                <c:pt idx="2">
                  <c:v>0</c:v>
                </c:pt>
              </c:numCache>
            </c:numRef>
          </c:val>
          <c:extLst>
            <c:ext xmlns:c16="http://schemas.microsoft.com/office/drawing/2014/chart" uri="{C3380CC4-5D6E-409C-BE32-E72D297353CC}">
              <c16:uniqueId val="{00000001-CDA9-4E52-BE46-74C9D6D3C189}"/>
            </c:ext>
          </c:extLst>
        </c:ser>
        <c:dLbls>
          <c:showLegendKey val="0"/>
          <c:showVal val="0"/>
          <c:showCatName val="0"/>
          <c:showSerName val="0"/>
          <c:showPercent val="0"/>
          <c:showBubbleSize val="0"/>
        </c:dLbls>
        <c:gapWidth val="150"/>
        <c:axId val="36615253"/>
        <c:axId val="47767480"/>
      </c:barChart>
      <c:catAx>
        <c:axId val="36615253"/>
        <c:scaling>
          <c:orientation val="minMax"/>
        </c:scaling>
        <c:delete val="0"/>
        <c:axPos val="b"/>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7767480"/>
        <c:crosses val="autoZero"/>
        <c:auto val="1"/>
        <c:lblAlgn val="ctr"/>
        <c:lblOffset val="100"/>
        <c:noMultiLvlLbl val="0"/>
      </c:catAx>
      <c:valAx>
        <c:axId val="47767480"/>
        <c:scaling>
          <c:orientation val="minMax"/>
        </c:scaling>
        <c:delete val="0"/>
        <c:axPos val="l"/>
        <c:numFmt formatCode="#,##0"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6615253"/>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At-Risk Order Value by Status (₹)</a:t>
            </a:r>
          </a:p>
        </c:rich>
      </c:tx>
      <c:overlay val="0"/>
      <c:spPr>
        <a:noFill/>
        <a:ln w="0">
          <a:noFill/>
          <a:prstDash val="solid"/>
        </a:ln>
      </c:spPr>
    </c:title>
    <c:autoTitleDeleted val="0"/>
    <c:plotArea>
      <c:layout/>
      <c:barChart>
        <c:barDir val="col"/>
        <c:grouping val="clustered"/>
        <c:varyColors val="0"/>
        <c:ser>
          <c:idx val="0"/>
          <c:order val="0"/>
          <c:tx>
            <c:strRef>
              <c:f>Analysis!$C$51</c:f>
              <c:strCache>
                <c:ptCount val="1"/>
                <c:pt idx="0">
                  <c:v>Gross Amount</c:v>
                </c:pt>
              </c:strCache>
            </c:strRef>
          </c:tx>
          <c:spPr>
            <a:solidFill>
              <a:srgbClr val="C00000"/>
            </a:solidFill>
            <a:ln w="0">
              <a:noFill/>
              <a:prstDash val="soli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Analysis!$A$53:$A$55</c:f>
              <c:strCache>
                <c:ptCount val="3"/>
                <c:pt idx="0">
                  <c:v>Cancelled</c:v>
                </c:pt>
                <c:pt idx="1">
                  <c:v>Refunded</c:v>
                </c:pt>
                <c:pt idx="2">
                  <c:v>Returned</c:v>
                </c:pt>
              </c:strCache>
            </c:strRef>
          </c:cat>
          <c:val>
            <c:numRef>
              <c:f>Analysis!$C$53:$C$55</c:f>
              <c:numCache>
                <c:formatCode>#,##0</c:formatCode>
                <c:ptCount val="3"/>
                <c:pt idx="0">
                  <c:v>0</c:v>
                </c:pt>
                <c:pt idx="1">
                  <c:v>0</c:v>
                </c:pt>
                <c:pt idx="2">
                  <c:v>0</c:v>
                </c:pt>
              </c:numCache>
            </c:numRef>
          </c:val>
          <c:extLst>
            <c:ext xmlns:c16="http://schemas.microsoft.com/office/drawing/2014/chart" uri="{C3380CC4-5D6E-409C-BE32-E72D297353CC}">
              <c16:uniqueId val="{00000000-0895-4E40-BACE-03B9F44A6648}"/>
            </c:ext>
          </c:extLst>
        </c:ser>
        <c:dLbls>
          <c:showLegendKey val="0"/>
          <c:showVal val="0"/>
          <c:showCatName val="0"/>
          <c:showSerName val="0"/>
          <c:showPercent val="0"/>
          <c:showBubbleSize val="0"/>
        </c:dLbls>
        <c:gapWidth val="150"/>
        <c:axId val="38447399"/>
        <c:axId val="82439321"/>
      </c:barChart>
      <c:catAx>
        <c:axId val="38447399"/>
        <c:scaling>
          <c:orientation val="minMax"/>
        </c:scaling>
        <c:delete val="0"/>
        <c:axPos val="b"/>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82439321"/>
        <c:crosses val="autoZero"/>
        <c:auto val="1"/>
        <c:lblAlgn val="ctr"/>
        <c:lblOffset val="100"/>
        <c:noMultiLvlLbl val="0"/>
      </c:catAx>
      <c:valAx>
        <c:axId val="82439321"/>
        <c:scaling>
          <c:orientation val="minMax"/>
        </c:scaling>
        <c:delete val="0"/>
        <c:axPos val="l"/>
        <c:numFmt formatCode="#,##0"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8447399"/>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8</xdr:col>
      <xdr:colOff>400320</xdr:colOff>
      <xdr:row>24</xdr:row>
      <xdr:rowOff>22320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9</xdr:row>
      <xdr:rowOff>0</xdr:rowOff>
    </xdr:from>
    <xdr:to>
      <xdr:col>15</xdr:col>
      <xdr:colOff>458640</xdr:colOff>
      <xdr:row>24</xdr:row>
      <xdr:rowOff>22320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25</xdr:row>
      <xdr:rowOff>0</xdr:rowOff>
    </xdr:from>
    <xdr:to>
      <xdr:col>8</xdr:col>
      <xdr:colOff>400320</xdr:colOff>
      <xdr:row>40</xdr:row>
      <xdr:rowOff>21960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25</xdr:row>
      <xdr:rowOff>0</xdr:rowOff>
    </xdr:from>
    <xdr:to>
      <xdr:col>15</xdr:col>
      <xdr:colOff>458640</xdr:colOff>
      <xdr:row>40</xdr:row>
      <xdr:rowOff>21960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41</xdr:row>
      <xdr:rowOff>0</xdr:rowOff>
    </xdr:from>
    <xdr:to>
      <xdr:col>8</xdr:col>
      <xdr:colOff>400320</xdr:colOff>
      <xdr:row>56</xdr:row>
      <xdr:rowOff>21960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41</xdr:row>
      <xdr:rowOff>0</xdr:rowOff>
    </xdr:from>
    <xdr:to>
      <xdr:col>15</xdr:col>
      <xdr:colOff>458640</xdr:colOff>
      <xdr:row>56</xdr:row>
      <xdr:rowOff>21960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S1501" totalsRowShown="0">
  <autoFilter ref="A1:S1501" xr:uid="{00000000-0009-0000-0100-000001000000}"/>
  <tableColumns count="19">
    <tableColumn id="1" xr3:uid="{00000000-0010-0000-0000-000001000000}" name="Line #"/>
    <tableColumn id="2" xr3:uid="{00000000-0010-0000-0000-000002000000}" name="Order ID"/>
    <tableColumn id="3" xr3:uid="{00000000-0010-0000-0000-000003000000}" name="Customer ID"/>
    <tableColumn id="4" xr3:uid="{00000000-0010-0000-0000-000004000000}" name="Gender"/>
    <tableColumn id="5" xr3:uid="{00000000-0010-0000-0000-000005000000}" name="Age"/>
    <tableColumn id="6" xr3:uid="{00000000-0010-0000-0000-000006000000}" name="Age Segment"/>
    <tableColumn id="7" xr3:uid="{00000000-0010-0000-0000-000007000000}" name="Order Date"/>
    <tableColumn id="8" xr3:uid="{00000000-0010-0000-0000-000008000000}" name="Month"/>
    <tableColumn id="9" xr3:uid="{00000000-0010-0000-0000-000009000000}" name="Order Status"/>
    <tableColumn id="10" xr3:uid="{00000000-0010-0000-0000-00000A000000}" name="Customer Channel"/>
    <tableColumn id="11" xr3:uid="{00000000-0010-0000-0000-00000B000000}" name="Brand"/>
    <tableColumn id="12" xr3:uid="{00000000-0010-0000-0000-00000C000000}" name="Category"/>
    <tableColumn id="13" xr3:uid="{00000000-0010-0000-0000-00000D000000}" name="Pack Size"/>
    <tableColumn id="14" xr3:uid="{00000000-0010-0000-0000-00000E000000}" name="Quantity"/>
    <tableColumn id="15" xr3:uid="{00000000-0010-0000-0000-00000F000000}" name="Currency"/>
    <tableColumn id="16" xr3:uid="{00000000-0010-0000-0000-000010000000}" name="Amount (INR)"/>
    <tableColumn id="17" xr3:uid="{00000000-0010-0000-0000-000011000000}" name="Ship City"/>
    <tableColumn id="18" xr3:uid="{00000000-0010-0000-0000-000012000000}" name="Net Revenue"/>
    <tableColumn id="19" xr3:uid="{00000000-0010-0000-0000-000013000000}" name="Customer 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N8"/>
  <sheetViews>
    <sheetView showGridLines="0" tabSelected="1" zoomScale="85" zoomScaleNormal="85" workbookViewId="0">
      <selection activeCell="S11" sqref="S11"/>
    </sheetView>
  </sheetViews>
  <sheetFormatPr defaultColWidth="8.6640625" defaultRowHeight="14.4" x14ac:dyDescent="0.3"/>
  <cols>
    <col min="1" max="14" width="9.5546875" customWidth="1"/>
  </cols>
  <sheetData>
    <row r="1" spans="1:14" ht="21.75" customHeight="1" x14ac:dyDescent="0.3">
      <c r="A1" s="15" t="s">
        <v>0</v>
      </c>
      <c r="B1" s="16"/>
      <c r="C1" s="16"/>
      <c r="D1" s="16"/>
      <c r="E1" s="16"/>
      <c r="F1" s="16"/>
      <c r="G1" s="16"/>
      <c r="H1" s="16"/>
      <c r="I1" s="16"/>
      <c r="J1" s="16"/>
      <c r="K1" s="16"/>
      <c r="L1" s="16"/>
      <c r="M1" s="16"/>
      <c r="N1" s="16"/>
    </row>
    <row r="2" spans="1:14" ht="21.75" customHeight="1" x14ac:dyDescent="0.3">
      <c r="A2" s="16"/>
      <c r="B2" s="16"/>
      <c r="C2" s="16"/>
      <c r="D2" s="16"/>
      <c r="E2" s="16"/>
      <c r="F2" s="16"/>
      <c r="G2" s="16"/>
      <c r="H2" s="16"/>
      <c r="I2" s="16"/>
      <c r="J2" s="16"/>
      <c r="K2" s="16"/>
      <c r="L2" s="16"/>
      <c r="M2" s="16"/>
      <c r="N2" s="16"/>
    </row>
    <row r="3" spans="1:14" ht="15" customHeight="1" x14ac:dyDescent="0.3">
      <c r="A3" s="17" t="s">
        <v>1</v>
      </c>
      <c r="B3" s="16"/>
      <c r="C3" s="16"/>
      <c r="D3" s="16"/>
      <c r="E3" s="16"/>
      <c r="F3" s="16"/>
      <c r="G3" s="16"/>
      <c r="H3" s="16"/>
      <c r="I3" s="16"/>
      <c r="J3" s="16"/>
      <c r="K3" s="16"/>
      <c r="L3" s="16"/>
      <c r="M3" s="16"/>
      <c r="N3" s="16"/>
    </row>
    <row r="4" spans="1:14" x14ac:dyDescent="0.3">
      <c r="B4" s="13" t="s">
        <v>2</v>
      </c>
      <c r="C4" s="14" t="s">
        <v>51</v>
      </c>
      <c r="F4" s="13" t="s">
        <v>3</v>
      </c>
      <c r="G4" s="14" t="s">
        <v>57</v>
      </c>
      <c r="J4" s="13" t="s">
        <v>4</v>
      </c>
      <c r="K4" s="14" t="s">
        <v>38</v>
      </c>
    </row>
    <row r="5" spans="1:14" ht="15" customHeight="1" x14ac:dyDescent="0.3">
      <c r="A5" s="27" t="s">
        <v>5</v>
      </c>
      <c r="B5" s="26"/>
      <c r="C5" s="25" t="s">
        <v>6</v>
      </c>
      <c r="D5" s="26"/>
      <c r="E5" s="25" t="s">
        <v>7</v>
      </c>
      <c r="F5" s="26"/>
      <c r="G5" s="27" t="s">
        <v>8</v>
      </c>
      <c r="H5" s="26"/>
      <c r="I5" s="27" t="s">
        <v>9</v>
      </c>
      <c r="J5" s="26"/>
      <c r="K5" s="25" t="s">
        <v>10</v>
      </c>
      <c r="L5" s="26"/>
      <c r="M5" s="28" t="s">
        <v>11</v>
      </c>
      <c r="N5" s="26"/>
    </row>
    <row r="6" spans="1:14" ht="15" customHeight="1" x14ac:dyDescent="0.3">
      <c r="A6" s="24">
        <f>Analysis!B64</f>
        <v>0</v>
      </c>
      <c r="B6" s="19"/>
      <c r="C6" s="18">
        <f>Analysis!B66</f>
        <v>0</v>
      </c>
      <c r="D6" s="19"/>
      <c r="E6" s="29">
        <f>Analysis!B67</f>
        <v>0</v>
      </c>
      <c r="F6" s="19"/>
      <c r="G6" s="24">
        <f>Analysis!B68</f>
        <v>0</v>
      </c>
      <c r="H6" s="19"/>
      <c r="I6" s="24">
        <f>Analysis!B69</f>
        <v>1387.0000000000005</v>
      </c>
      <c r="J6" s="19"/>
      <c r="K6" s="29">
        <f>Analysis!B71</f>
        <v>5.9120403749098778E-2</v>
      </c>
      <c r="L6" s="19"/>
      <c r="M6" s="30">
        <f>Analysis!B72</f>
        <v>0</v>
      </c>
      <c r="N6" s="19"/>
    </row>
    <row r="7" spans="1:14" ht="15" customHeight="1" x14ac:dyDescent="0.3">
      <c r="A7" s="20"/>
      <c r="B7" s="21"/>
      <c r="C7" s="20"/>
      <c r="D7" s="21"/>
      <c r="E7" s="20"/>
      <c r="F7" s="21"/>
      <c r="G7" s="20"/>
      <c r="H7" s="21"/>
      <c r="I7" s="20"/>
      <c r="J7" s="21"/>
      <c r="K7" s="20"/>
      <c r="L7" s="21"/>
      <c r="M7" s="20"/>
      <c r="N7" s="21"/>
    </row>
    <row r="8" spans="1:14" ht="15" customHeight="1" x14ac:dyDescent="0.3">
      <c r="A8" s="22"/>
      <c r="B8" s="23"/>
      <c r="C8" s="22"/>
      <c r="D8" s="23"/>
      <c r="E8" s="22"/>
      <c r="F8" s="23"/>
      <c r="G8" s="22"/>
      <c r="H8" s="23"/>
      <c r="I8" s="22"/>
      <c r="J8" s="23"/>
      <c r="K8" s="22"/>
      <c r="L8" s="23"/>
      <c r="M8" s="22"/>
      <c r="N8" s="23"/>
    </row>
  </sheetData>
  <mergeCells count="16">
    <mergeCell ref="A1:N2"/>
    <mergeCell ref="A3:N3"/>
    <mergeCell ref="C6:D8"/>
    <mergeCell ref="G6:H8"/>
    <mergeCell ref="C5:D5"/>
    <mergeCell ref="A5:B5"/>
    <mergeCell ref="G5:H5"/>
    <mergeCell ref="E5:F5"/>
    <mergeCell ref="K5:L5"/>
    <mergeCell ref="I5:J5"/>
    <mergeCell ref="A6:B8"/>
    <mergeCell ref="M5:N5"/>
    <mergeCell ref="E6:F8"/>
    <mergeCell ref="I6:J8"/>
    <mergeCell ref="M6:N8"/>
    <mergeCell ref="K6:L8"/>
  </mergeCells>
  <dataValidations count="3">
    <dataValidation type="list" allowBlank="1" sqref="C4" xr:uid="{00000000-0002-0000-0000-000000000000}">
      <formula1>"All,End User,Shop Owner,Master Trainer,Trainer,Gym Pro Shop,Influencer,Promoter"</formula1>
    </dataValidation>
    <dataValidation type="list" allowBlank="1" sqref="G4" xr:uid="{00000000-0002-0000-0000-000001000000}">
      <formula1>"All,Isolate,Hydrolised,Concentrate,Blend,Gainer"</formula1>
    </dataValidation>
    <dataValidation type="list" allowBlank="1" sqref="K4" xr:uid="{00000000-0002-0000-0000-000002000000}">
      <formula1>"All,Jan,Feb,Mar,Apr,May,Jun,Jul,Aug"</formula1>
    </dataValidation>
  </dataValidations>
  <pageMargins left="0.75" right="0.75" top="1" bottom="1" header="0.511811023622047" footer="0.511811023622047"/>
  <pageSetup paperSize="8"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pageSetUpPr fitToPage="1"/>
  </sheetPr>
  <dimension ref="A1:B30"/>
  <sheetViews>
    <sheetView showGridLines="0" zoomScaleNormal="100" workbookViewId="0">
      <selection sqref="A1:B1"/>
    </sheetView>
  </sheetViews>
  <sheetFormatPr defaultColWidth="8.6640625" defaultRowHeight="14.4" x14ac:dyDescent="0.3"/>
  <cols>
    <col min="1" max="1" width="3" customWidth="1"/>
    <col min="2" max="2" width="108" customWidth="1"/>
  </cols>
  <sheetData>
    <row r="1" spans="1:2" ht="30" customHeight="1" x14ac:dyDescent="0.3">
      <c r="A1" s="33" t="s">
        <v>12</v>
      </c>
      <c r="B1" s="16"/>
    </row>
    <row r="2" spans="1:2" ht="15" customHeight="1" x14ac:dyDescent="0.3">
      <c r="A2" s="38" t="s">
        <v>13</v>
      </c>
      <c r="B2" s="16"/>
    </row>
    <row r="4" spans="1:2" ht="21.75" customHeight="1" x14ac:dyDescent="0.3">
      <c r="A4" s="31" t="s">
        <v>14</v>
      </c>
      <c r="B4" s="16"/>
    </row>
    <row r="5" spans="1:2" ht="15.75" customHeight="1" x14ac:dyDescent="0.3">
      <c r="A5" s="39" t="s">
        <v>15</v>
      </c>
      <c r="B5" s="16"/>
    </row>
    <row r="6" spans="1:2" ht="67.5" customHeight="1" x14ac:dyDescent="0.3">
      <c r="A6" s="34" t="s">
        <v>16</v>
      </c>
      <c r="B6" s="16"/>
    </row>
    <row r="8" spans="1:2" ht="21.75" customHeight="1" x14ac:dyDescent="0.3">
      <c r="A8" s="31" t="s">
        <v>17</v>
      </c>
      <c r="B8" s="16"/>
    </row>
    <row r="9" spans="1:2" ht="15.75" customHeight="1" x14ac:dyDescent="0.3">
      <c r="A9" s="39" t="s">
        <v>18</v>
      </c>
      <c r="B9" s="16"/>
    </row>
    <row r="10" spans="1:2" ht="97.5" customHeight="1" x14ac:dyDescent="0.3">
      <c r="A10" s="34" t="s">
        <v>19</v>
      </c>
      <c r="B10" s="16"/>
    </row>
    <row r="12" spans="1:2" ht="21.75" customHeight="1" x14ac:dyDescent="0.3">
      <c r="A12" s="31" t="s">
        <v>20</v>
      </c>
      <c r="B12" s="16"/>
    </row>
    <row r="13" spans="1:2" ht="15.75" customHeight="1" x14ac:dyDescent="0.3">
      <c r="A13" s="35" t="s">
        <v>15</v>
      </c>
      <c r="B13" s="16"/>
    </row>
    <row r="14" spans="1:2" ht="82.5" customHeight="1" x14ac:dyDescent="0.3">
      <c r="A14" s="37" t="s">
        <v>21</v>
      </c>
      <c r="B14" s="16"/>
    </row>
    <row r="16" spans="1:2" ht="21.75" customHeight="1" x14ac:dyDescent="0.3">
      <c r="A16" s="31" t="s">
        <v>22</v>
      </c>
      <c r="B16" s="16"/>
    </row>
    <row r="17" spans="1:2" ht="15.75" customHeight="1" x14ac:dyDescent="0.3">
      <c r="A17" s="40" t="s">
        <v>15</v>
      </c>
      <c r="B17" s="16"/>
    </row>
    <row r="18" spans="1:2" ht="82.5" customHeight="1" x14ac:dyDescent="0.3">
      <c r="A18" s="36" t="s">
        <v>23</v>
      </c>
      <c r="B18" s="16"/>
    </row>
    <row r="20" spans="1:2" ht="21.75" customHeight="1" x14ac:dyDescent="0.3">
      <c r="A20" s="31" t="s">
        <v>24</v>
      </c>
      <c r="B20" s="16"/>
    </row>
    <row r="21" spans="1:2" ht="15.75" customHeight="1" x14ac:dyDescent="0.3">
      <c r="A21" s="35" t="s">
        <v>15</v>
      </c>
      <c r="B21" s="16"/>
    </row>
    <row r="22" spans="1:2" ht="67.5" customHeight="1" x14ac:dyDescent="0.3">
      <c r="A22" s="37" t="s">
        <v>25</v>
      </c>
      <c r="B22" s="16"/>
    </row>
    <row r="24" spans="1:2" ht="21.75" customHeight="1" x14ac:dyDescent="0.3">
      <c r="A24" s="31" t="s">
        <v>26</v>
      </c>
      <c r="B24" s="16"/>
    </row>
    <row r="25" spans="1:2" ht="15.75" customHeight="1" x14ac:dyDescent="0.3">
      <c r="A25" s="35" t="s">
        <v>15</v>
      </c>
      <c r="B25" s="16"/>
    </row>
    <row r="26" spans="1:2" ht="67.5" customHeight="1" x14ac:dyDescent="0.3">
      <c r="A26" s="37" t="s">
        <v>27</v>
      </c>
      <c r="B26" s="16"/>
    </row>
    <row r="28" spans="1:2" ht="21.75" customHeight="1" x14ac:dyDescent="0.3">
      <c r="A28" s="31" t="s">
        <v>28</v>
      </c>
      <c r="B28" s="16"/>
    </row>
    <row r="29" spans="1:2" ht="15.75" customHeight="1" x14ac:dyDescent="0.3">
      <c r="A29" s="41" t="s">
        <v>29</v>
      </c>
      <c r="B29" s="16"/>
    </row>
    <row r="30" spans="1:2" ht="112.5" customHeight="1" x14ac:dyDescent="0.3">
      <c r="A30" s="32" t="s">
        <v>30</v>
      </c>
      <c r="B30" s="16"/>
    </row>
  </sheetData>
  <mergeCells count="23">
    <mergeCell ref="A4:B4"/>
    <mergeCell ref="A20:B20"/>
    <mergeCell ref="A29:B29"/>
    <mergeCell ref="A10:B10"/>
    <mergeCell ref="A28:B28"/>
    <mergeCell ref="A13:B13"/>
    <mergeCell ref="A9:B9"/>
    <mergeCell ref="A24:B24"/>
    <mergeCell ref="A30:B30"/>
    <mergeCell ref="A1:B1"/>
    <mergeCell ref="A6:B6"/>
    <mergeCell ref="A16:B16"/>
    <mergeCell ref="A25:B25"/>
    <mergeCell ref="A18:B18"/>
    <mergeCell ref="A12:B12"/>
    <mergeCell ref="A26:B26"/>
    <mergeCell ref="A21:B21"/>
    <mergeCell ref="A2:B2"/>
    <mergeCell ref="A5:B5"/>
    <mergeCell ref="A14:B14"/>
    <mergeCell ref="A17:B17"/>
    <mergeCell ref="A8:B8"/>
    <mergeCell ref="A22:B22"/>
  </mergeCells>
  <pageMargins left="0.75" right="0.75" top="1" bottom="1" header="0.511811023622047" footer="0.511811023622047"/>
  <pageSetup paperSize="8"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F72"/>
  <sheetViews>
    <sheetView showGridLines="0" zoomScaleNormal="100" workbookViewId="0"/>
  </sheetViews>
  <sheetFormatPr defaultColWidth="8.6640625" defaultRowHeight="14.4" x14ac:dyDescent="0.3"/>
  <cols>
    <col min="1" max="1" width="30" customWidth="1"/>
    <col min="2" max="4" width="16" customWidth="1"/>
    <col min="5" max="5" width="14" customWidth="1"/>
  </cols>
  <sheetData>
    <row r="1" spans="1:6" ht="15" customHeight="1" x14ac:dyDescent="0.3">
      <c r="A1" s="1" t="s">
        <v>31</v>
      </c>
      <c r="D1" t="str">
        <f>IF(Dashboard!$C$4="All","*",Dashboard!$C$4)</f>
        <v>Gym Pro Shop</v>
      </c>
      <c r="E1" t="str">
        <f>IF(Dashboard!$G$4="All","*",Dashboard!$G$4)</f>
        <v>Hydrolised</v>
      </c>
      <c r="F1" t="str">
        <f>IF(Dashboard!$K$4="All","*",Dashboard!$K$4)</f>
        <v>Feb</v>
      </c>
    </row>
    <row r="3" spans="1:6" ht="15" customHeight="1" x14ac:dyDescent="0.3">
      <c r="A3" s="2" t="s">
        <v>32</v>
      </c>
      <c r="B3" s="2" t="s">
        <v>33</v>
      </c>
      <c r="C3" s="2" t="s">
        <v>34</v>
      </c>
      <c r="D3" s="2" t="s">
        <v>35</v>
      </c>
      <c r="E3" s="2" t="s">
        <v>36</v>
      </c>
    </row>
    <row r="4" spans="1:6" ht="15" customHeight="1" x14ac:dyDescent="0.3">
      <c r="A4" s="3" t="s">
        <v>37</v>
      </c>
      <c r="B4" s="4">
        <f>SUMIFS(Data!$R$2:$R$1501, Data!$H$2:$H$1501, A4, Data!$J$2:$J$1501, $D$1, Data!$L$2:$L$1501, $E$1)</f>
        <v>0</v>
      </c>
      <c r="C4" s="4">
        <f>SUMIFS(Data!$P$2:$P$1501, Data!$H$2:$H$1501, A4, Data!$J$2:$J$1501, $D$1, Data!$L$2:$L$1501, $E$1)</f>
        <v>0</v>
      </c>
      <c r="D4" s="4">
        <f>COUNTIFS(Data!$H$2:$H$1501, A4, Data!$J$2:$J$1501, $D$1, Data!$L$2:$L$1501, $E$1)</f>
        <v>0</v>
      </c>
      <c r="E4" s="4">
        <f>SUMIFS(Data!$N$2:$N$1501, Data!$H$2:$H$1501, A4, Data!$J$2:$J$1501, $D$1, Data!$L$2:$L$1501, $E$1)</f>
        <v>0</v>
      </c>
    </row>
    <row r="5" spans="1:6" ht="15" customHeight="1" x14ac:dyDescent="0.3">
      <c r="A5" s="3" t="s">
        <v>38</v>
      </c>
      <c r="B5" s="4">
        <f>SUMIFS(Data!$R$2:$R$1501, Data!$H$2:$H$1501, A5, Data!$J$2:$J$1501, $D$1, Data!$L$2:$L$1501, $E$1)</f>
        <v>0</v>
      </c>
      <c r="C5" s="4">
        <f>SUMIFS(Data!$P$2:$P$1501, Data!$H$2:$H$1501, A5, Data!$J$2:$J$1501, $D$1, Data!$L$2:$L$1501, $E$1)</f>
        <v>0</v>
      </c>
      <c r="D5" s="4">
        <f>COUNTIFS(Data!$H$2:$H$1501, A5, Data!$J$2:$J$1501, $D$1, Data!$L$2:$L$1501, $E$1)</f>
        <v>0</v>
      </c>
      <c r="E5" s="4">
        <f>SUMIFS(Data!$N$2:$N$1501, Data!$H$2:$H$1501, A5, Data!$J$2:$J$1501, $D$1, Data!$L$2:$L$1501, $E$1)</f>
        <v>0</v>
      </c>
    </row>
    <row r="6" spans="1:6" ht="15" customHeight="1" x14ac:dyDescent="0.3">
      <c r="A6" s="3" t="s">
        <v>39</v>
      </c>
      <c r="B6" s="4">
        <f>SUMIFS(Data!$R$2:$R$1501, Data!$H$2:$H$1501, A6, Data!$J$2:$J$1501, $D$1, Data!$L$2:$L$1501, $E$1)</f>
        <v>0</v>
      </c>
      <c r="C6" s="4">
        <f>SUMIFS(Data!$P$2:$P$1501, Data!$H$2:$H$1501, A6, Data!$J$2:$J$1501, $D$1, Data!$L$2:$L$1501, $E$1)</f>
        <v>0</v>
      </c>
      <c r="D6" s="4">
        <f>COUNTIFS(Data!$H$2:$H$1501, A6, Data!$J$2:$J$1501, $D$1, Data!$L$2:$L$1501, $E$1)</f>
        <v>0</v>
      </c>
      <c r="E6" s="4">
        <f>SUMIFS(Data!$N$2:$N$1501, Data!$H$2:$H$1501, A6, Data!$J$2:$J$1501, $D$1, Data!$L$2:$L$1501, $E$1)</f>
        <v>0</v>
      </c>
    </row>
    <row r="7" spans="1:6" ht="15" customHeight="1" x14ac:dyDescent="0.3">
      <c r="A7" s="3" t="s">
        <v>40</v>
      </c>
      <c r="B7" s="4">
        <f>SUMIFS(Data!$R$2:$R$1501, Data!$H$2:$H$1501, A7, Data!$J$2:$J$1501, $D$1, Data!$L$2:$L$1501, $E$1)</f>
        <v>0</v>
      </c>
      <c r="C7" s="4">
        <f>SUMIFS(Data!$P$2:$P$1501, Data!$H$2:$H$1501, A7, Data!$J$2:$J$1501, $D$1, Data!$L$2:$L$1501, $E$1)</f>
        <v>0</v>
      </c>
      <c r="D7" s="4">
        <f>COUNTIFS(Data!$H$2:$H$1501, A7, Data!$J$2:$J$1501, $D$1, Data!$L$2:$L$1501, $E$1)</f>
        <v>0</v>
      </c>
      <c r="E7" s="4">
        <f>SUMIFS(Data!$N$2:$N$1501, Data!$H$2:$H$1501, A7, Data!$J$2:$J$1501, $D$1, Data!$L$2:$L$1501, $E$1)</f>
        <v>0</v>
      </c>
    </row>
    <row r="8" spans="1:6" ht="15" customHeight="1" x14ac:dyDescent="0.3">
      <c r="A8" s="3" t="s">
        <v>41</v>
      </c>
      <c r="B8" s="4">
        <f>SUMIFS(Data!$R$2:$R$1501, Data!$H$2:$H$1501, A8, Data!$J$2:$J$1501, $D$1, Data!$L$2:$L$1501, $E$1)</f>
        <v>0</v>
      </c>
      <c r="C8" s="4">
        <f>SUMIFS(Data!$P$2:$P$1501, Data!$H$2:$H$1501, A8, Data!$J$2:$J$1501, $D$1, Data!$L$2:$L$1501, $E$1)</f>
        <v>0</v>
      </c>
      <c r="D8" s="4">
        <f>COUNTIFS(Data!$H$2:$H$1501, A8, Data!$J$2:$J$1501, $D$1, Data!$L$2:$L$1501, $E$1)</f>
        <v>0</v>
      </c>
      <c r="E8" s="4">
        <f>SUMIFS(Data!$N$2:$N$1501, Data!$H$2:$H$1501, A8, Data!$J$2:$J$1501, $D$1, Data!$L$2:$L$1501, $E$1)</f>
        <v>0</v>
      </c>
    </row>
    <row r="9" spans="1:6" ht="15" customHeight="1" x14ac:dyDescent="0.3">
      <c r="A9" s="3" t="s">
        <v>42</v>
      </c>
      <c r="B9" s="4">
        <f>SUMIFS(Data!$R$2:$R$1501, Data!$H$2:$H$1501, A9, Data!$J$2:$J$1501, $D$1, Data!$L$2:$L$1501, $E$1)</f>
        <v>0</v>
      </c>
      <c r="C9" s="4">
        <f>SUMIFS(Data!$P$2:$P$1501, Data!$H$2:$H$1501, A9, Data!$J$2:$J$1501, $D$1, Data!$L$2:$L$1501, $E$1)</f>
        <v>12600</v>
      </c>
      <c r="D9" s="4">
        <f>COUNTIFS(Data!$H$2:$H$1501, A9, Data!$J$2:$J$1501, $D$1, Data!$L$2:$L$1501, $E$1)</f>
        <v>2</v>
      </c>
      <c r="E9" s="4">
        <f>SUMIFS(Data!$N$2:$N$1501, Data!$H$2:$H$1501, A9, Data!$J$2:$J$1501, $D$1, Data!$L$2:$L$1501, $E$1)</f>
        <v>11</v>
      </c>
    </row>
    <row r="10" spans="1:6" ht="15" customHeight="1" x14ac:dyDescent="0.3">
      <c r="A10" s="3" t="s">
        <v>43</v>
      </c>
      <c r="B10" s="4">
        <f>SUMIFS(Data!$R$2:$R$1501, Data!$H$2:$H$1501, A10, Data!$J$2:$J$1501, $D$1, Data!$L$2:$L$1501, $E$1)</f>
        <v>192200</v>
      </c>
      <c r="C10" s="4">
        <f>SUMIFS(Data!$P$2:$P$1501, Data!$H$2:$H$1501, A10, Data!$J$2:$J$1501, $D$1, Data!$L$2:$L$1501, $E$1)</f>
        <v>205000</v>
      </c>
      <c r="D10" s="4">
        <f>COUNTIFS(Data!$H$2:$H$1501, A10, Data!$J$2:$J$1501, $D$1, Data!$L$2:$L$1501, $E$1)</f>
        <v>31</v>
      </c>
      <c r="E10" s="4">
        <f>SUMIFS(Data!$N$2:$N$1501, Data!$H$2:$H$1501, A10, Data!$J$2:$J$1501, $D$1, Data!$L$2:$L$1501, $E$1)</f>
        <v>528</v>
      </c>
    </row>
    <row r="11" spans="1:6" ht="15" customHeight="1" x14ac:dyDescent="0.3">
      <c r="A11" s="3" t="s">
        <v>44</v>
      </c>
      <c r="B11" s="4">
        <f>SUMIFS(Data!$R$2:$R$1501, Data!$H$2:$H$1501, A11, Data!$J$2:$J$1501, $D$1, Data!$L$2:$L$1501, $E$1)</f>
        <v>0</v>
      </c>
      <c r="C11" s="4">
        <f>SUMIFS(Data!$P$2:$P$1501, Data!$H$2:$H$1501, A11, Data!$J$2:$J$1501, $D$1, Data!$L$2:$L$1501, $E$1)</f>
        <v>0</v>
      </c>
      <c r="D11" s="4">
        <f>COUNTIFS(Data!$H$2:$H$1501, A11, Data!$J$2:$J$1501, $D$1, Data!$L$2:$L$1501, $E$1)</f>
        <v>0</v>
      </c>
      <c r="E11" s="4">
        <f>SUMIFS(Data!$N$2:$N$1501, Data!$H$2:$H$1501, A11, Data!$J$2:$J$1501, $D$1, Data!$L$2:$L$1501, $E$1)</f>
        <v>0</v>
      </c>
    </row>
    <row r="14" spans="1:6" ht="15" customHeight="1" x14ac:dyDescent="0.3">
      <c r="A14" s="2" t="s">
        <v>45</v>
      </c>
      <c r="B14" s="2" t="s">
        <v>35</v>
      </c>
      <c r="C14" s="2" t="s">
        <v>33</v>
      </c>
      <c r="D14" s="2" t="s">
        <v>46</v>
      </c>
    </row>
    <row r="15" spans="1:6" ht="15" customHeight="1" x14ac:dyDescent="0.3">
      <c r="A15" s="3" t="s">
        <v>47</v>
      </c>
      <c r="B15" s="4">
        <f>COUNTIFS(Data!$J$2:$J$1501, A15, Data!$L$2:$L$1501, $E$1, Data!$H$2:$H$1501, $F$1)</f>
        <v>3</v>
      </c>
      <c r="C15" s="4">
        <f>SUMIFS(Data!$R$2:$R$1501, Data!$J$2:$J$1501, A15, Data!$L$2:$L$1501, $E$1, Data!$H$2:$H$1501, $F$1)</f>
        <v>11000</v>
      </c>
      <c r="D15" s="4">
        <f t="shared" ref="D15:D21" si="0">IF(B15=0, 0, C15/B15)</f>
        <v>3666.6666666666665</v>
      </c>
    </row>
    <row r="16" spans="1:6" ht="15" customHeight="1" x14ac:dyDescent="0.3">
      <c r="A16" s="3" t="s">
        <v>48</v>
      </c>
      <c r="B16" s="4">
        <f>COUNTIFS(Data!$J$2:$J$1501, A16, Data!$L$2:$L$1501, $E$1, Data!$H$2:$H$1501, $F$1)</f>
        <v>0</v>
      </c>
      <c r="C16" s="4">
        <f>SUMIFS(Data!$R$2:$R$1501, Data!$J$2:$J$1501, A16, Data!$L$2:$L$1501, $E$1, Data!$H$2:$H$1501, $F$1)</f>
        <v>0</v>
      </c>
      <c r="D16" s="4">
        <f t="shared" si="0"/>
        <v>0</v>
      </c>
    </row>
    <row r="17" spans="1:4" ht="15" customHeight="1" x14ac:dyDescent="0.3">
      <c r="A17" s="3" t="s">
        <v>49</v>
      </c>
      <c r="B17" s="4">
        <f>COUNTIFS(Data!$J$2:$J$1501, A17, Data!$L$2:$L$1501, $E$1, Data!$H$2:$H$1501, $F$1)</f>
        <v>3</v>
      </c>
      <c r="C17" s="4">
        <f>SUMIFS(Data!$R$2:$R$1501, Data!$J$2:$J$1501, A17, Data!$L$2:$L$1501, $E$1, Data!$H$2:$H$1501, $F$1)</f>
        <v>17700</v>
      </c>
      <c r="D17" s="4">
        <f t="shared" si="0"/>
        <v>5900</v>
      </c>
    </row>
    <row r="18" spans="1:4" ht="15" customHeight="1" x14ac:dyDescent="0.3">
      <c r="A18" s="3" t="s">
        <v>50</v>
      </c>
      <c r="B18" s="4">
        <f>COUNTIFS(Data!$J$2:$J$1501, A18, Data!$L$2:$L$1501, $E$1, Data!$H$2:$H$1501, $F$1)</f>
        <v>27</v>
      </c>
      <c r="C18" s="4">
        <f>SUMIFS(Data!$R$2:$R$1501, Data!$J$2:$J$1501, A18, Data!$L$2:$L$1501, $E$1, Data!$H$2:$H$1501, $F$1)</f>
        <v>160000</v>
      </c>
      <c r="D18" s="4">
        <f t="shared" si="0"/>
        <v>5925.9259259259261</v>
      </c>
    </row>
    <row r="19" spans="1:4" ht="15" customHeight="1" x14ac:dyDescent="0.3">
      <c r="A19" s="3" t="s">
        <v>51</v>
      </c>
      <c r="B19" s="4">
        <f>COUNTIFS(Data!$J$2:$J$1501, A19, Data!$L$2:$L$1501, $E$1, Data!$H$2:$H$1501, $F$1)</f>
        <v>0</v>
      </c>
      <c r="C19" s="4">
        <f>SUMIFS(Data!$R$2:$R$1501, Data!$J$2:$J$1501, A19, Data!$L$2:$L$1501, $E$1, Data!$H$2:$H$1501, $F$1)</f>
        <v>0</v>
      </c>
      <c r="D19" s="4">
        <f t="shared" si="0"/>
        <v>0</v>
      </c>
    </row>
    <row r="20" spans="1:4" ht="15" customHeight="1" x14ac:dyDescent="0.3">
      <c r="A20" s="3" t="s">
        <v>52</v>
      </c>
      <c r="B20" s="4">
        <f>COUNTIFS(Data!$J$2:$J$1501, A20, Data!$L$2:$L$1501, $E$1, Data!$H$2:$H$1501, $F$1)</f>
        <v>9</v>
      </c>
      <c r="C20" s="4">
        <f>SUMIFS(Data!$R$2:$R$1501, Data!$J$2:$J$1501, A20, Data!$L$2:$L$1501, $E$1, Data!$H$2:$H$1501, $F$1)</f>
        <v>52400</v>
      </c>
      <c r="D20" s="4">
        <f t="shared" si="0"/>
        <v>5822.2222222222226</v>
      </c>
    </row>
    <row r="21" spans="1:4" ht="15" customHeight="1" x14ac:dyDescent="0.3">
      <c r="A21" s="3" t="s">
        <v>53</v>
      </c>
      <c r="B21" s="4">
        <f>COUNTIFS(Data!$J$2:$J$1501, A21, Data!$L$2:$L$1501, $E$1, Data!$H$2:$H$1501, $F$1)</f>
        <v>21</v>
      </c>
      <c r="C21" s="4">
        <f>SUMIFS(Data!$R$2:$R$1501, Data!$J$2:$J$1501, A21, Data!$L$2:$L$1501, $E$1, Data!$H$2:$H$1501, $F$1)</f>
        <v>97700</v>
      </c>
      <c r="D21" s="4">
        <f t="shared" si="0"/>
        <v>4652.3809523809523</v>
      </c>
    </row>
    <row r="24" spans="1:4" ht="15" customHeight="1" x14ac:dyDescent="0.3">
      <c r="A24" s="2" t="s">
        <v>54</v>
      </c>
      <c r="B24" s="2" t="s">
        <v>33</v>
      </c>
      <c r="C24" s="2" t="s">
        <v>36</v>
      </c>
      <c r="D24" s="2" t="s">
        <v>55</v>
      </c>
    </row>
    <row r="25" spans="1:4" ht="15" customHeight="1" x14ac:dyDescent="0.3">
      <c r="A25" s="3" t="s">
        <v>56</v>
      </c>
      <c r="B25" s="4">
        <f>SUMIFS(Data!$R$2:$R$1501, Data!$L$2:$L$1501, A25, Data!$J$2:$J$1501, $D$1, Data!$H$2:$H$1501, $F$1)</f>
        <v>13200</v>
      </c>
      <c r="C25" s="4">
        <f>SUMIFS(Data!$N$2:$N$1501, Data!$L$2:$L$1501, A25, Data!$J$2:$J$1501, $D$1, Data!$H$2:$H$1501, $F$1)</f>
        <v>11</v>
      </c>
      <c r="D25" s="5">
        <f>IF($B$64=0, 0, B25/$B$64)</f>
        <v>0</v>
      </c>
    </row>
    <row r="26" spans="1:4" ht="15" customHeight="1" x14ac:dyDescent="0.3">
      <c r="A26" s="3" t="s">
        <v>57</v>
      </c>
      <c r="B26" s="4">
        <f>SUMIFS(Data!$R$2:$R$1501, Data!$L$2:$L$1501, A26, Data!$J$2:$J$1501, $D$1, Data!$H$2:$H$1501, $F$1)</f>
        <v>0</v>
      </c>
      <c r="C26" s="4">
        <f>SUMIFS(Data!$N$2:$N$1501, Data!$L$2:$L$1501, A26, Data!$J$2:$J$1501, $D$1, Data!$H$2:$H$1501, $F$1)</f>
        <v>0</v>
      </c>
      <c r="D26" s="5">
        <f>IF($B$64=0, 0, B26/$B$64)</f>
        <v>0</v>
      </c>
    </row>
    <row r="27" spans="1:4" ht="15" customHeight="1" x14ac:dyDescent="0.3">
      <c r="A27" s="3" t="s">
        <v>58</v>
      </c>
      <c r="B27" s="4">
        <f>SUMIFS(Data!$R$2:$R$1501, Data!$L$2:$L$1501, A27, Data!$J$2:$J$1501, $D$1, Data!$H$2:$H$1501, $F$1)</f>
        <v>178400</v>
      </c>
      <c r="C27" s="4">
        <f>SUMIFS(Data!$N$2:$N$1501, Data!$L$2:$L$1501, A27, Data!$J$2:$J$1501, $D$1, Data!$H$2:$H$1501, $F$1)</f>
        <v>283</v>
      </c>
      <c r="D27" s="5">
        <f>IF($B$64=0, 0, B27/$B$64)</f>
        <v>0</v>
      </c>
    </row>
    <row r="28" spans="1:4" ht="15" customHeight="1" x14ac:dyDescent="0.3">
      <c r="A28" s="3" t="s">
        <v>59</v>
      </c>
      <c r="B28" s="4">
        <f>SUMIFS(Data!$R$2:$R$1501, Data!$L$2:$L$1501, A28, Data!$J$2:$J$1501, $D$1, Data!$H$2:$H$1501, $F$1)</f>
        <v>0</v>
      </c>
      <c r="C28" s="4">
        <f>SUMIFS(Data!$N$2:$N$1501, Data!$L$2:$L$1501, A28, Data!$J$2:$J$1501, $D$1, Data!$H$2:$H$1501, $F$1)</f>
        <v>0</v>
      </c>
      <c r="D28" s="5">
        <f>IF($B$64=0, 0, B28/$B$64)</f>
        <v>0</v>
      </c>
    </row>
    <row r="29" spans="1:4" ht="15" customHeight="1" x14ac:dyDescent="0.3">
      <c r="A29" s="3" t="s">
        <v>60</v>
      </c>
      <c r="B29" s="4">
        <f>SUMIFS(Data!$R$2:$R$1501, Data!$L$2:$L$1501, A29, Data!$J$2:$J$1501, $D$1, Data!$H$2:$H$1501, $F$1)</f>
        <v>0</v>
      </c>
      <c r="C29" s="4">
        <f>SUMIFS(Data!$N$2:$N$1501, Data!$L$2:$L$1501, A29, Data!$J$2:$J$1501, $D$1, Data!$H$2:$H$1501, $F$1)</f>
        <v>0</v>
      </c>
      <c r="D29" s="5">
        <f>IF($B$64=0, 0, B29/$B$64)</f>
        <v>0</v>
      </c>
    </row>
    <row r="32" spans="1:4" ht="15" customHeight="1" x14ac:dyDescent="0.3">
      <c r="A32" s="2" t="s">
        <v>61</v>
      </c>
      <c r="B32" s="2" t="s">
        <v>33</v>
      </c>
    </row>
    <row r="33" spans="1:3" ht="15" customHeight="1" x14ac:dyDescent="0.3">
      <c r="A33" s="3" t="s">
        <v>62</v>
      </c>
      <c r="B33" s="4">
        <f>SUMIFS(Data!$R$2:$R$1501, Data!$Q$2:$Q$1501, A33, Data!$J$2:$J$1501, $D$1, Data!$L$2:$L$1501, $E$1, Data!$H$2:$H$1501, $F$1)</f>
        <v>0</v>
      </c>
    </row>
    <row r="34" spans="1:3" ht="15" customHeight="1" x14ac:dyDescent="0.3">
      <c r="A34" s="3" t="s">
        <v>63</v>
      </c>
      <c r="B34" s="4">
        <f>SUMIFS(Data!$R$2:$R$1501, Data!$Q$2:$Q$1501, A34, Data!$J$2:$J$1501, $D$1, Data!$L$2:$L$1501, $E$1, Data!$H$2:$H$1501, $F$1)</f>
        <v>0</v>
      </c>
    </row>
    <row r="35" spans="1:3" ht="15" customHeight="1" x14ac:dyDescent="0.3">
      <c r="A35" s="3" t="s">
        <v>64</v>
      </c>
      <c r="B35" s="4">
        <f>SUMIFS(Data!$R$2:$R$1501, Data!$Q$2:$Q$1501, A35, Data!$J$2:$J$1501, $D$1, Data!$L$2:$L$1501, $E$1, Data!$H$2:$H$1501, $F$1)</f>
        <v>0</v>
      </c>
    </row>
    <row r="36" spans="1:3" ht="15" customHeight="1" x14ac:dyDescent="0.3">
      <c r="A36" s="3" t="s">
        <v>65</v>
      </c>
      <c r="B36" s="4">
        <f>SUMIFS(Data!$R$2:$R$1501, Data!$Q$2:$Q$1501, A36, Data!$J$2:$J$1501, $D$1, Data!$L$2:$L$1501, $E$1, Data!$H$2:$H$1501, $F$1)</f>
        <v>0</v>
      </c>
    </row>
    <row r="37" spans="1:3" ht="15" customHeight="1" x14ac:dyDescent="0.3">
      <c r="A37" s="3" t="s">
        <v>66</v>
      </c>
      <c r="B37" s="4">
        <f>SUMIFS(Data!$R$2:$R$1501, Data!$Q$2:$Q$1501, A37, Data!$J$2:$J$1501, $D$1, Data!$L$2:$L$1501, $E$1, Data!$H$2:$H$1501, $F$1)</f>
        <v>0</v>
      </c>
    </row>
    <row r="38" spans="1:3" ht="15" customHeight="1" x14ac:dyDescent="0.3">
      <c r="A38" s="3" t="s">
        <v>67</v>
      </c>
      <c r="B38" s="4">
        <f>SUMIFS(Data!$R$2:$R$1501, Data!$Q$2:$Q$1501, A38, Data!$J$2:$J$1501, $D$1, Data!$L$2:$L$1501, $E$1, Data!$H$2:$H$1501, $F$1)</f>
        <v>0</v>
      </c>
    </row>
    <row r="39" spans="1:3" ht="15" customHeight="1" x14ac:dyDescent="0.3">
      <c r="A39" s="3" t="s">
        <v>68</v>
      </c>
      <c r="B39" s="4">
        <f>SUMIFS(Data!$R$2:$R$1501, Data!$Q$2:$Q$1501, A39, Data!$J$2:$J$1501, $D$1, Data!$L$2:$L$1501, $E$1, Data!$H$2:$H$1501, $F$1)</f>
        <v>0</v>
      </c>
    </row>
    <row r="40" spans="1:3" ht="15" customHeight="1" x14ac:dyDescent="0.3">
      <c r="A40" s="3" t="s">
        <v>69</v>
      </c>
      <c r="B40" s="4">
        <f>SUMIFS(Data!$R$2:$R$1501, Data!$Q$2:$Q$1501, A40, Data!$J$2:$J$1501, $D$1, Data!$L$2:$L$1501, $E$1, Data!$H$2:$H$1501, $F$1)</f>
        <v>0</v>
      </c>
    </row>
    <row r="41" spans="1:3" ht="15" customHeight="1" x14ac:dyDescent="0.3">
      <c r="A41" s="3" t="s">
        <v>70</v>
      </c>
      <c r="B41" s="4">
        <f>SUMIFS(Data!$R$2:$R$1501, Data!$Q$2:$Q$1501, A41, Data!$J$2:$J$1501, $D$1, Data!$L$2:$L$1501, $E$1, Data!$H$2:$H$1501, $F$1)</f>
        <v>0</v>
      </c>
    </row>
    <row r="42" spans="1:3" ht="15" customHeight="1" x14ac:dyDescent="0.3">
      <c r="A42" s="3" t="s">
        <v>71</v>
      </c>
      <c r="B42" s="4">
        <f>SUMIFS(Data!$R$2:$R$1501, Data!$Q$2:$Q$1501, A42, Data!$J$2:$J$1501, $D$1, Data!$L$2:$L$1501, $E$1, Data!$H$2:$H$1501, $F$1)</f>
        <v>0</v>
      </c>
    </row>
    <row r="44" spans="1:3" ht="15" customHeight="1" x14ac:dyDescent="0.3">
      <c r="A44" s="2" t="s">
        <v>72</v>
      </c>
      <c r="B44" s="2" t="s">
        <v>73</v>
      </c>
      <c r="C44" s="2" t="s">
        <v>74</v>
      </c>
    </row>
    <row r="45" spans="1:3" ht="15" customHeight="1" x14ac:dyDescent="0.3">
      <c r="A45" s="3" t="s">
        <v>75</v>
      </c>
      <c r="B45" s="4">
        <f>SUMIFS(Data!$R$2:$R$1501, Data!$F$2:$F$1501, A45, Data!$D$2:$D$1501, "Men", Data!$J$2:$J$1501, $D$1, Data!$L$2:$L$1501, $E$1, Data!$H$2:$H$1501, $F$1)</f>
        <v>0</v>
      </c>
      <c r="C45" s="4">
        <f>SUMIFS(Data!$R$2:$R$1501, Data!$F$2:$F$1501, A45, Data!$D$2:$D$1501, "Women", Data!$J$2:$J$1501, $D$1, Data!$L$2:$L$1501, $E$1, Data!$H$2:$H$1501, $F$1)</f>
        <v>0</v>
      </c>
    </row>
    <row r="46" spans="1:3" ht="15" customHeight="1" x14ac:dyDescent="0.3">
      <c r="A46" s="3" t="s">
        <v>76</v>
      </c>
      <c r="B46" s="4">
        <f>SUMIFS(Data!$R$2:$R$1501, Data!$F$2:$F$1501, A46, Data!$D$2:$D$1501, "Men", Data!$J$2:$J$1501, $D$1, Data!$L$2:$L$1501, $E$1, Data!$H$2:$H$1501, $F$1)</f>
        <v>0</v>
      </c>
      <c r="C46" s="4">
        <f>SUMIFS(Data!$R$2:$R$1501, Data!$F$2:$F$1501, A46, Data!$D$2:$D$1501, "Women", Data!$J$2:$J$1501, $D$1, Data!$L$2:$L$1501, $E$1, Data!$H$2:$H$1501, $F$1)</f>
        <v>0</v>
      </c>
    </row>
    <row r="47" spans="1:3" ht="15" customHeight="1" x14ac:dyDescent="0.3">
      <c r="A47" s="3" t="s">
        <v>77</v>
      </c>
      <c r="B47" s="4">
        <f>SUMIFS(Data!$R$2:$R$1501, Data!$F$2:$F$1501, A47, Data!$D$2:$D$1501, "Men", Data!$J$2:$J$1501, $D$1, Data!$L$2:$L$1501, $E$1, Data!$H$2:$H$1501, $F$1)</f>
        <v>0</v>
      </c>
      <c r="C47" s="4">
        <f>SUMIFS(Data!$R$2:$R$1501, Data!$F$2:$F$1501, A47, Data!$D$2:$D$1501, "Women", Data!$J$2:$J$1501, $D$1, Data!$L$2:$L$1501, $E$1, Data!$H$2:$H$1501, $F$1)</f>
        <v>0</v>
      </c>
    </row>
    <row r="51" spans="1:4" ht="15" customHeight="1" x14ac:dyDescent="0.3">
      <c r="A51" s="2" t="s">
        <v>78</v>
      </c>
      <c r="B51" s="2" t="s">
        <v>79</v>
      </c>
      <c r="C51" s="2" t="s">
        <v>80</v>
      </c>
      <c r="D51" s="2" t="s">
        <v>81</v>
      </c>
    </row>
    <row r="52" spans="1:4" ht="15" customHeight="1" x14ac:dyDescent="0.3">
      <c r="A52" s="3" t="s">
        <v>82</v>
      </c>
      <c r="B52" s="4">
        <f>COUNTIFS(Data!$I$2:$I$1501, A52, Data!$J$2:$J$1501, $D$1, Data!$L$2:$L$1501, $E$1, Data!$H$2:$H$1501, $F$1)</f>
        <v>0</v>
      </c>
      <c r="C52" s="4">
        <f>SUMIFS(Data!$P$2:$P$1501, Data!$I$2:$I$1501, A52, Data!$J$2:$J$1501, $D$1, Data!$L$2:$L$1501, $E$1, Data!$H$2:$H$1501, $F$1)</f>
        <v>0</v>
      </c>
      <c r="D52" s="5">
        <f>IF($B$65=0, 0, C52/$B$65)</f>
        <v>0</v>
      </c>
    </row>
    <row r="53" spans="1:4" ht="15" customHeight="1" x14ac:dyDescent="0.3">
      <c r="A53" s="3" t="s">
        <v>83</v>
      </c>
      <c r="B53" s="4">
        <f>COUNTIFS(Data!$I$2:$I$1501, A53, Data!$J$2:$J$1501, $D$1, Data!$L$2:$L$1501, $E$1, Data!$H$2:$H$1501, $F$1)</f>
        <v>0</v>
      </c>
      <c r="C53" s="4">
        <f>SUMIFS(Data!$P$2:$P$1501, Data!$I$2:$I$1501, A53, Data!$J$2:$J$1501, $D$1, Data!$L$2:$L$1501, $E$1, Data!$H$2:$H$1501, $F$1)</f>
        <v>0</v>
      </c>
      <c r="D53" s="5">
        <f>IF($B$65=0, 0, C53/$B$65)</f>
        <v>0</v>
      </c>
    </row>
    <row r="54" spans="1:4" ht="15" customHeight="1" x14ac:dyDescent="0.3">
      <c r="A54" s="3" t="s">
        <v>84</v>
      </c>
      <c r="B54" s="4">
        <f>COUNTIFS(Data!$I$2:$I$1501, A54, Data!$J$2:$J$1501, $D$1, Data!$L$2:$L$1501, $E$1, Data!$H$2:$H$1501, $F$1)</f>
        <v>0</v>
      </c>
      <c r="C54" s="4">
        <f>SUMIFS(Data!$P$2:$P$1501, Data!$I$2:$I$1501, A54, Data!$J$2:$J$1501, $D$1, Data!$L$2:$L$1501, $E$1, Data!$H$2:$H$1501, $F$1)</f>
        <v>0</v>
      </c>
      <c r="D54" s="5">
        <f>IF($B$65=0, 0, C54/$B$65)</f>
        <v>0</v>
      </c>
    </row>
    <row r="55" spans="1:4" ht="15" customHeight="1" x14ac:dyDescent="0.3">
      <c r="A55" s="3" t="s">
        <v>85</v>
      </c>
      <c r="B55" s="4">
        <f>COUNTIFS(Data!$I$2:$I$1501, A55, Data!$J$2:$J$1501, $D$1, Data!$L$2:$L$1501, $E$1, Data!$H$2:$H$1501, $F$1)</f>
        <v>0</v>
      </c>
      <c r="C55" s="4">
        <f>SUMIFS(Data!$P$2:$P$1501, Data!$I$2:$I$1501, A55, Data!$J$2:$J$1501, $D$1, Data!$L$2:$L$1501, $E$1, Data!$H$2:$H$1501, $F$1)</f>
        <v>0</v>
      </c>
      <c r="D55" s="5">
        <f>IF($B$65=0, 0, C55/$B$65)</f>
        <v>0</v>
      </c>
    </row>
    <row r="58" spans="1:4" ht="15" customHeight="1" x14ac:dyDescent="0.3">
      <c r="A58" s="2" t="s">
        <v>86</v>
      </c>
      <c r="B58" s="2" t="s">
        <v>87</v>
      </c>
      <c r="C58" s="2" t="s">
        <v>35</v>
      </c>
      <c r="D58" s="2" t="s">
        <v>33</v>
      </c>
    </row>
    <row r="59" spans="1:4" ht="15" customHeight="1" x14ac:dyDescent="0.3">
      <c r="A59" s="3" t="s">
        <v>88</v>
      </c>
      <c r="B59" s="4">
        <f>SUMPRODUCT((Data!$S$2:$S$1501=A59)/COUNTIF(Data!$C$2:$C$1501,Data!$C$2:$C$1501))</f>
        <v>82.000000000000028</v>
      </c>
      <c r="C59" s="4">
        <f>COUNTIF(Data!$S$2:$S$1501,A59)</f>
        <v>195</v>
      </c>
      <c r="D59" s="4">
        <f>SUMIFS(Data!$R$2:$R$1501,Data!$S$2:$S$1501,A59)</f>
        <v>1117800</v>
      </c>
    </row>
    <row r="60" spans="1:4" ht="15" customHeight="1" x14ac:dyDescent="0.3">
      <c r="A60" s="3" t="s">
        <v>89</v>
      </c>
      <c r="B60" s="4">
        <f>SUMPRODUCT((Data!$S$2:$S$1501=A60)/COUNTIF(Data!$C$2:$C$1501,Data!$C$2:$C$1501))</f>
        <v>1305</v>
      </c>
      <c r="C60" s="4">
        <f>COUNTIF(Data!$S$2:$S$1501,A60)</f>
        <v>1305</v>
      </c>
      <c r="D60" s="4">
        <f>SUMIFS(Data!$R$2:$R$1501,Data!$S$2:$S$1501,A60)</f>
        <v>7382300</v>
      </c>
    </row>
    <row r="63" spans="1:4" ht="15" customHeight="1" x14ac:dyDescent="0.3">
      <c r="A63" s="2" t="s">
        <v>90</v>
      </c>
      <c r="B63" s="2" t="s">
        <v>91</v>
      </c>
    </row>
    <row r="64" spans="1:4" ht="15" customHeight="1" x14ac:dyDescent="0.3">
      <c r="A64" s="3" t="s">
        <v>92</v>
      </c>
      <c r="B64" s="6">
        <f>SUMIFS(Data!$R$2:$R$1501, Data!$J$2:$J$1501, $D$1, Data!$L$2:$L$1501, $E$1, Data!$H$2:$H$1501, $F$1)</f>
        <v>0</v>
      </c>
    </row>
    <row r="65" spans="1:2" ht="15" customHeight="1" x14ac:dyDescent="0.3">
      <c r="A65" s="3" t="s">
        <v>93</v>
      </c>
      <c r="B65" s="6">
        <f>SUMIFS(Data!$P$2:$P$1501, Data!$J$2:$J$1501, $D$1, Data!$L$2:$L$1501, $E$1, Data!$H$2:$H$1501, $F$1)</f>
        <v>0</v>
      </c>
    </row>
    <row r="66" spans="1:2" ht="15" customHeight="1" x14ac:dyDescent="0.3">
      <c r="A66" s="3" t="s">
        <v>94</v>
      </c>
      <c r="B66" s="6">
        <f>B65-B64</f>
        <v>0</v>
      </c>
    </row>
    <row r="67" spans="1:2" ht="15" customHeight="1" x14ac:dyDescent="0.3">
      <c r="A67" s="3" t="s">
        <v>95</v>
      </c>
      <c r="B67" s="7">
        <f>IF(B65=0, 0, B66/B65)</f>
        <v>0</v>
      </c>
    </row>
    <row r="68" spans="1:2" ht="15" customHeight="1" x14ac:dyDescent="0.3">
      <c r="A68" s="3" t="s">
        <v>96</v>
      </c>
      <c r="B68" s="6">
        <f>COUNTIFS(Data!$J$2:$J$1501, $D$1, Data!$L$2:$L$1501, $E$1, Data!$H$2:$H$1501, $F$1)</f>
        <v>0</v>
      </c>
    </row>
    <row r="69" spans="1:2" ht="15" customHeight="1" x14ac:dyDescent="0.3">
      <c r="A69" s="3" t="s">
        <v>87</v>
      </c>
      <c r="B69" s="6">
        <f>SUMPRODUCT(1/COUNTIF(Data!$C$2:$C$1501,Data!$C$2:$C$1501))</f>
        <v>1387.0000000000005</v>
      </c>
    </row>
    <row r="70" spans="1:2" ht="15" customHeight="1" x14ac:dyDescent="0.3">
      <c r="A70" s="3" t="s">
        <v>97</v>
      </c>
      <c r="B70" s="6">
        <f>B59</f>
        <v>82.000000000000028</v>
      </c>
    </row>
    <row r="71" spans="1:2" ht="15" customHeight="1" x14ac:dyDescent="0.3">
      <c r="A71" s="3" t="s">
        <v>98</v>
      </c>
      <c r="B71" s="7">
        <f>B70/B69</f>
        <v>5.9120403749098778E-2</v>
      </c>
    </row>
    <row r="72" spans="1:2" ht="15" customHeight="1" x14ac:dyDescent="0.3">
      <c r="A72" s="3" t="s">
        <v>99</v>
      </c>
      <c r="B72" s="6"/>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U1501"/>
  <sheetViews>
    <sheetView zoomScaleNormal="100" workbookViewId="0">
      <pane ySplit="1" topLeftCell="A2" activePane="bottomLeft" state="frozen"/>
      <selection pane="bottomLeft"/>
    </sheetView>
  </sheetViews>
  <sheetFormatPr defaultColWidth="8.6640625" defaultRowHeight="14.4" x14ac:dyDescent="0.3"/>
  <cols>
    <col min="1" max="1" width="13" customWidth="1"/>
    <col min="2" max="2" width="20" customWidth="1"/>
    <col min="3" max="10" width="13" customWidth="1"/>
    <col min="11" max="11" width="16" customWidth="1"/>
    <col min="12" max="19" width="13" customWidth="1"/>
    <col min="21" max="21" width="70" customWidth="1"/>
  </cols>
  <sheetData>
    <row r="1" spans="1:21" ht="23.25" customHeight="1" x14ac:dyDescent="0.3">
      <c r="A1" s="8" t="s">
        <v>100</v>
      </c>
      <c r="B1" s="8" t="s">
        <v>101</v>
      </c>
      <c r="C1" s="8" t="s">
        <v>102</v>
      </c>
      <c r="D1" s="8" t="s">
        <v>103</v>
      </c>
      <c r="E1" s="8" t="s">
        <v>104</v>
      </c>
      <c r="F1" s="8" t="s">
        <v>72</v>
      </c>
      <c r="G1" s="8" t="s">
        <v>105</v>
      </c>
      <c r="H1" s="8" t="s">
        <v>32</v>
      </c>
      <c r="I1" s="8" t="s">
        <v>78</v>
      </c>
      <c r="J1" s="8" t="s">
        <v>45</v>
      </c>
      <c r="K1" s="8" t="s">
        <v>106</v>
      </c>
      <c r="L1" s="8" t="s">
        <v>54</v>
      </c>
      <c r="M1" s="8" t="s">
        <v>107</v>
      </c>
      <c r="N1" s="8" t="s">
        <v>108</v>
      </c>
      <c r="O1" s="8" t="s">
        <v>109</v>
      </c>
      <c r="P1" s="8" t="s">
        <v>110</v>
      </c>
      <c r="Q1" s="8" t="s">
        <v>111</v>
      </c>
      <c r="R1" s="8" t="s">
        <v>33</v>
      </c>
      <c r="S1" s="8" t="s">
        <v>86</v>
      </c>
      <c r="U1" s="9" t="s">
        <v>112</v>
      </c>
    </row>
    <row r="2" spans="1:21" ht="41.25" customHeight="1" x14ac:dyDescent="0.3">
      <c r="A2">
        <v>1</v>
      </c>
      <c r="B2" t="s">
        <v>113</v>
      </c>
      <c r="C2">
        <v>1029312</v>
      </c>
      <c r="D2" t="s">
        <v>114</v>
      </c>
      <c r="E2">
        <v>44</v>
      </c>
      <c r="F2" t="s">
        <v>76</v>
      </c>
      <c r="G2" s="10">
        <v>45295</v>
      </c>
      <c r="H2" t="s">
        <v>37</v>
      </c>
      <c r="I2" t="s">
        <v>82</v>
      </c>
      <c r="J2" t="s">
        <v>47</v>
      </c>
      <c r="K2" t="s">
        <v>115</v>
      </c>
      <c r="L2" t="s">
        <v>56</v>
      </c>
      <c r="M2" t="s">
        <v>116</v>
      </c>
      <c r="N2">
        <v>9</v>
      </c>
      <c r="O2" t="s">
        <v>117</v>
      </c>
      <c r="P2" s="11">
        <v>6500</v>
      </c>
      <c r="Q2" t="s">
        <v>118</v>
      </c>
      <c r="R2" s="11">
        <f t="shared" ref="R2:R65" si="0">IF(I2="Delivered",P2,0)</f>
        <v>6500</v>
      </c>
      <c r="S2" t="str">
        <f t="shared" ref="S2:S65" si="1">IF(COUNTIF($C$2:$C$1501,C2)&gt;1,"Repeat","One-Time")</f>
        <v>One-Time</v>
      </c>
      <c r="U2" s="12" t="s">
        <v>119</v>
      </c>
    </row>
    <row r="3" spans="1:21" ht="27.75" customHeight="1" x14ac:dyDescent="0.3">
      <c r="A3">
        <v>2</v>
      </c>
      <c r="B3" t="s">
        <v>120</v>
      </c>
      <c r="C3">
        <v>2183842</v>
      </c>
      <c r="D3" t="s">
        <v>114</v>
      </c>
      <c r="E3">
        <v>29</v>
      </c>
      <c r="F3" t="s">
        <v>75</v>
      </c>
      <c r="G3" s="10">
        <v>45296</v>
      </c>
      <c r="H3" t="s">
        <v>37</v>
      </c>
      <c r="I3" t="s">
        <v>82</v>
      </c>
      <c r="J3" t="s">
        <v>47</v>
      </c>
      <c r="K3" t="s">
        <v>121</v>
      </c>
      <c r="L3" t="s">
        <v>56</v>
      </c>
      <c r="M3" t="s">
        <v>122</v>
      </c>
      <c r="N3">
        <v>7</v>
      </c>
      <c r="O3" t="s">
        <v>117</v>
      </c>
      <c r="P3" s="11">
        <v>6500</v>
      </c>
      <c r="Q3" t="s">
        <v>71</v>
      </c>
      <c r="R3" s="11">
        <f t="shared" si="0"/>
        <v>6500</v>
      </c>
      <c r="S3" t="str">
        <f t="shared" si="1"/>
        <v>One-Time</v>
      </c>
      <c r="U3" s="12" t="s">
        <v>123</v>
      </c>
    </row>
    <row r="4" spans="1:21" ht="27.75" customHeight="1" x14ac:dyDescent="0.3">
      <c r="A4">
        <v>3</v>
      </c>
      <c r="B4" t="s">
        <v>124</v>
      </c>
      <c r="C4">
        <v>1641533</v>
      </c>
      <c r="D4" t="s">
        <v>114</v>
      </c>
      <c r="E4">
        <v>67</v>
      </c>
      <c r="F4" t="s">
        <v>77</v>
      </c>
      <c r="G4" s="10">
        <v>45297</v>
      </c>
      <c r="H4" t="s">
        <v>37</v>
      </c>
      <c r="I4" t="s">
        <v>82</v>
      </c>
      <c r="J4" t="s">
        <v>47</v>
      </c>
      <c r="K4" t="s">
        <v>125</v>
      </c>
      <c r="L4" t="s">
        <v>56</v>
      </c>
      <c r="M4" t="s">
        <v>116</v>
      </c>
      <c r="N4">
        <v>6</v>
      </c>
      <c r="O4" t="s">
        <v>117</v>
      </c>
      <c r="P4" s="11">
        <v>6500</v>
      </c>
      <c r="Q4" t="s">
        <v>67</v>
      </c>
      <c r="R4" s="11">
        <f t="shared" si="0"/>
        <v>6500</v>
      </c>
      <c r="S4" t="str">
        <f t="shared" si="1"/>
        <v>One-Time</v>
      </c>
      <c r="U4" s="12" t="s">
        <v>126</v>
      </c>
    </row>
    <row r="5" spans="1:21" ht="41.25" customHeight="1" x14ac:dyDescent="0.3">
      <c r="A5">
        <v>4</v>
      </c>
      <c r="B5" t="s">
        <v>127</v>
      </c>
      <c r="C5">
        <v>7490807</v>
      </c>
      <c r="D5" t="s">
        <v>114</v>
      </c>
      <c r="E5">
        <v>20</v>
      </c>
      <c r="F5" t="s">
        <v>75</v>
      </c>
      <c r="G5" s="10">
        <v>45298</v>
      </c>
      <c r="H5" t="s">
        <v>37</v>
      </c>
      <c r="I5" t="s">
        <v>82</v>
      </c>
      <c r="J5" t="s">
        <v>47</v>
      </c>
      <c r="K5" t="s">
        <v>128</v>
      </c>
      <c r="L5" t="s">
        <v>56</v>
      </c>
      <c r="M5" t="s">
        <v>116</v>
      </c>
      <c r="N5">
        <v>2</v>
      </c>
      <c r="O5" t="s">
        <v>117</v>
      </c>
      <c r="P5" s="11">
        <v>6500</v>
      </c>
      <c r="Q5" t="s">
        <v>129</v>
      </c>
      <c r="R5" s="11">
        <f t="shared" si="0"/>
        <v>6500</v>
      </c>
      <c r="S5" t="str">
        <f t="shared" si="1"/>
        <v>One-Time</v>
      </c>
      <c r="U5" s="12" t="s">
        <v>130</v>
      </c>
    </row>
    <row r="6" spans="1:21" ht="41.25" customHeight="1" x14ac:dyDescent="0.3">
      <c r="A6">
        <v>5</v>
      </c>
      <c r="B6" t="s">
        <v>131</v>
      </c>
      <c r="C6">
        <v>9293516</v>
      </c>
      <c r="D6" t="s">
        <v>114</v>
      </c>
      <c r="E6">
        <v>62</v>
      </c>
      <c r="F6" t="s">
        <v>77</v>
      </c>
      <c r="G6" s="10">
        <v>45299</v>
      </c>
      <c r="H6" t="s">
        <v>37</v>
      </c>
      <c r="I6" t="s">
        <v>82</v>
      </c>
      <c r="J6" t="s">
        <v>47</v>
      </c>
      <c r="K6" t="s">
        <v>132</v>
      </c>
      <c r="L6" t="s">
        <v>56</v>
      </c>
      <c r="M6" t="s">
        <v>116</v>
      </c>
      <c r="N6">
        <v>8</v>
      </c>
      <c r="O6" t="s">
        <v>117</v>
      </c>
      <c r="P6" s="11">
        <v>6500</v>
      </c>
      <c r="Q6" t="s">
        <v>71</v>
      </c>
      <c r="R6" s="11">
        <f t="shared" si="0"/>
        <v>6500</v>
      </c>
      <c r="S6" t="str">
        <f t="shared" si="1"/>
        <v>One-Time</v>
      </c>
      <c r="U6" s="12" t="s">
        <v>133</v>
      </c>
    </row>
    <row r="7" spans="1:21" ht="41.25" customHeight="1" x14ac:dyDescent="0.3">
      <c r="A7">
        <v>6</v>
      </c>
      <c r="B7" t="s">
        <v>134</v>
      </c>
      <c r="C7">
        <v>1298130</v>
      </c>
      <c r="D7" t="s">
        <v>114</v>
      </c>
      <c r="E7">
        <v>49</v>
      </c>
      <c r="F7" t="s">
        <v>76</v>
      </c>
      <c r="G7" s="10">
        <v>45300</v>
      </c>
      <c r="H7" t="s">
        <v>37</v>
      </c>
      <c r="I7" t="s">
        <v>82</v>
      </c>
      <c r="J7" t="s">
        <v>47</v>
      </c>
      <c r="K7" t="s">
        <v>135</v>
      </c>
      <c r="L7" t="s">
        <v>56</v>
      </c>
      <c r="M7" t="s">
        <v>122</v>
      </c>
      <c r="N7">
        <v>4</v>
      </c>
      <c r="O7" t="s">
        <v>117</v>
      </c>
      <c r="P7" s="11">
        <v>6500</v>
      </c>
      <c r="Q7" t="s">
        <v>136</v>
      </c>
      <c r="R7" s="11">
        <f t="shared" si="0"/>
        <v>6500</v>
      </c>
      <c r="S7" t="str">
        <f t="shared" si="1"/>
        <v>Repeat</v>
      </c>
      <c r="U7" s="12" t="s">
        <v>137</v>
      </c>
    </row>
    <row r="8" spans="1:21" ht="15" customHeight="1" x14ac:dyDescent="0.3">
      <c r="A8">
        <v>7</v>
      </c>
      <c r="B8" t="s">
        <v>134</v>
      </c>
      <c r="C8">
        <v>1298130</v>
      </c>
      <c r="D8" t="s">
        <v>114</v>
      </c>
      <c r="E8">
        <v>23</v>
      </c>
      <c r="F8" t="s">
        <v>75</v>
      </c>
      <c r="G8" s="10">
        <v>45301</v>
      </c>
      <c r="H8" t="s">
        <v>37</v>
      </c>
      <c r="I8" t="s">
        <v>82</v>
      </c>
      <c r="J8" t="s">
        <v>47</v>
      </c>
      <c r="K8" t="s">
        <v>138</v>
      </c>
      <c r="L8" t="s">
        <v>56</v>
      </c>
      <c r="M8" t="s">
        <v>122</v>
      </c>
      <c r="N8">
        <v>6</v>
      </c>
      <c r="O8" t="s">
        <v>117</v>
      </c>
      <c r="P8" s="11">
        <v>6500</v>
      </c>
      <c r="Q8" t="s">
        <v>62</v>
      </c>
      <c r="R8" s="11">
        <f t="shared" si="0"/>
        <v>6500</v>
      </c>
      <c r="S8" t="str">
        <f t="shared" si="1"/>
        <v>Repeat</v>
      </c>
    </row>
    <row r="9" spans="1:21" ht="15" customHeight="1" x14ac:dyDescent="0.3">
      <c r="A9">
        <v>8</v>
      </c>
      <c r="B9" t="s">
        <v>139</v>
      </c>
      <c r="C9">
        <v>5561216</v>
      </c>
      <c r="D9" t="s">
        <v>114</v>
      </c>
      <c r="E9">
        <v>70</v>
      </c>
      <c r="F9" t="s">
        <v>77</v>
      </c>
      <c r="G9" s="10">
        <v>45302</v>
      </c>
      <c r="H9" t="s">
        <v>37</v>
      </c>
      <c r="I9" t="s">
        <v>82</v>
      </c>
      <c r="J9" t="s">
        <v>47</v>
      </c>
      <c r="K9" t="s">
        <v>140</v>
      </c>
      <c r="L9" t="s">
        <v>56</v>
      </c>
      <c r="M9" t="s">
        <v>122</v>
      </c>
      <c r="N9">
        <v>5</v>
      </c>
      <c r="O9" t="s">
        <v>117</v>
      </c>
      <c r="P9" s="11">
        <v>7500</v>
      </c>
      <c r="Q9" t="s">
        <v>71</v>
      </c>
      <c r="R9" s="11">
        <f t="shared" si="0"/>
        <v>7500</v>
      </c>
      <c r="S9" t="str">
        <f t="shared" si="1"/>
        <v>One-Time</v>
      </c>
    </row>
    <row r="10" spans="1:21" ht="15" customHeight="1" x14ac:dyDescent="0.3">
      <c r="A10">
        <v>9</v>
      </c>
      <c r="B10" t="s">
        <v>141</v>
      </c>
      <c r="C10">
        <v>2935263</v>
      </c>
      <c r="D10" t="s">
        <v>114</v>
      </c>
      <c r="E10">
        <v>75</v>
      </c>
      <c r="F10" t="s">
        <v>77</v>
      </c>
      <c r="G10" s="10">
        <v>45303</v>
      </c>
      <c r="H10" t="s">
        <v>37</v>
      </c>
      <c r="I10" t="s">
        <v>82</v>
      </c>
      <c r="J10" t="s">
        <v>47</v>
      </c>
      <c r="K10" t="s">
        <v>142</v>
      </c>
      <c r="L10" t="s">
        <v>56</v>
      </c>
      <c r="M10" t="s">
        <v>122</v>
      </c>
      <c r="N10">
        <v>23</v>
      </c>
      <c r="O10" t="s">
        <v>117</v>
      </c>
      <c r="P10" s="11">
        <v>7500</v>
      </c>
      <c r="Q10" t="s">
        <v>62</v>
      </c>
      <c r="R10" s="11">
        <f t="shared" si="0"/>
        <v>7500</v>
      </c>
      <c r="S10" t="str">
        <f t="shared" si="1"/>
        <v>One-Time</v>
      </c>
    </row>
    <row r="11" spans="1:21" ht="15" customHeight="1" x14ac:dyDescent="0.3">
      <c r="A11">
        <v>10</v>
      </c>
      <c r="B11" t="s">
        <v>143</v>
      </c>
      <c r="C11">
        <v>2648970</v>
      </c>
      <c r="D11" t="s">
        <v>114</v>
      </c>
      <c r="E11">
        <v>43</v>
      </c>
      <c r="F11" t="s">
        <v>76</v>
      </c>
      <c r="G11" s="10">
        <v>45304</v>
      </c>
      <c r="H11" t="s">
        <v>37</v>
      </c>
      <c r="I11" t="s">
        <v>82</v>
      </c>
      <c r="J11" t="s">
        <v>47</v>
      </c>
      <c r="K11" t="s">
        <v>144</v>
      </c>
      <c r="L11" t="s">
        <v>56</v>
      </c>
      <c r="M11" t="s">
        <v>122</v>
      </c>
      <c r="N11">
        <v>2</v>
      </c>
      <c r="O11" t="s">
        <v>117</v>
      </c>
      <c r="P11" s="11">
        <v>7500</v>
      </c>
      <c r="Q11" t="s">
        <v>145</v>
      </c>
      <c r="R11" s="11">
        <f t="shared" si="0"/>
        <v>7500</v>
      </c>
      <c r="S11" t="str">
        <f t="shared" si="1"/>
        <v>Repeat</v>
      </c>
    </row>
    <row r="12" spans="1:21" ht="15" customHeight="1" x14ac:dyDescent="0.3">
      <c r="A12">
        <v>11</v>
      </c>
      <c r="B12" t="s">
        <v>143</v>
      </c>
      <c r="C12">
        <v>2648970</v>
      </c>
      <c r="D12" t="s">
        <v>114</v>
      </c>
      <c r="E12">
        <v>76</v>
      </c>
      <c r="F12" t="s">
        <v>77</v>
      </c>
      <c r="G12" s="10">
        <v>45305</v>
      </c>
      <c r="H12" t="s">
        <v>37</v>
      </c>
      <c r="I12" t="s">
        <v>82</v>
      </c>
      <c r="J12" t="s">
        <v>47</v>
      </c>
      <c r="K12" t="s">
        <v>146</v>
      </c>
      <c r="L12" t="s">
        <v>56</v>
      </c>
      <c r="M12" t="s">
        <v>122</v>
      </c>
      <c r="N12">
        <v>5</v>
      </c>
      <c r="O12" t="s">
        <v>117</v>
      </c>
      <c r="P12" s="11">
        <v>7500</v>
      </c>
      <c r="Q12" t="s">
        <v>147</v>
      </c>
      <c r="R12" s="11">
        <f t="shared" si="0"/>
        <v>7500</v>
      </c>
      <c r="S12" t="str">
        <f t="shared" si="1"/>
        <v>Repeat</v>
      </c>
    </row>
    <row r="13" spans="1:21" ht="15" customHeight="1" x14ac:dyDescent="0.3">
      <c r="A13">
        <v>12</v>
      </c>
      <c r="B13" t="s">
        <v>143</v>
      </c>
      <c r="C13">
        <v>2648970</v>
      </c>
      <c r="D13" t="s">
        <v>114</v>
      </c>
      <c r="E13">
        <v>45</v>
      </c>
      <c r="F13" t="s">
        <v>76</v>
      </c>
      <c r="G13" s="10">
        <v>45306</v>
      </c>
      <c r="H13" t="s">
        <v>37</v>
      </c>
      <c r="I13" t="s">
        <v>82</v>
      </c>
      <c r="J13" t="s">
        <v>47</v>
      </c>
      <c r="K13" t="s">
        <v>115</v>
      </c>
      <c r="L13" t="s">
        <v>56</v>
      </c>
      <c r="M13" t="s">
        <v>122</v>
      </c>
      <c r="N13">
        <v>9</v>
      </c>
      <c r="O13" t="s">
        <v>117</v>
      </c>
      <c r="P13" s="11">
        <v>7500</v>
      </c>
      <c r="Q13" t="s">
        <v>148</v>
      </c>
      <c r="R13" s="11">
        <f t="shared" si="0"/>
        <v>7500</v>
      </c>
      <c r="S13" t="str">
        <f t="shared" si="1"/>
        <v>Repeat</v>
      </c>
    </row>
    <row r="14" spans="1:21" ht="15" customHeight="1" x14ac:dyDescent="0.3">
      <c r="A14">
        <v>13</v>
      </c>
      <c r="B14" t="s">
        <v>149</v>
      </c>
      <c r="C14">
        <v>265357</v>
      </c>
      <c r="D14" t="s">
        <v>114</v>
      </c>
      <c r="E14">
        <v>18</v>
      </c>
      <c r="F14" t="s">
        <v>75</v>
      </c>
      <c r="G14" s="10">
        <v>45307</v>
      </c>
      <c r="H14" t="s">
        <v>37</v>
      </c>
      <c r="I14" t="s">
        <v>82</v>
      </c>
      <c r="J14" t="s">
        <v>47</v>
      </c>
      <c r="K14" t="s">
        <v>115</v>
      </c>
      <c r="L14" t="s">
        <v>56</v>
      </c>
      <c r="M14" t="s">
        <v>122</v>
      </c>
      <c r="N14">
        <v>27</v>
      </c>
      <c r="O14" t="s">
        <v>117</v>
      </c>
      <c r="P14" s="11">
        <v>7500</v>
      </c>
      <c r="Q14" t="s">
        <v>150</v>
      </c>
      <c r="R14" s="11">
        <f t="shared" si="0"/>
        <v>7500</v>
      </c>
      <c r="S14" t="str">
        <f t="shared" si="1"/>
        <v>One-Time</v>
      </c>
    </row>
    <row r="15" spans="1:21" ht="15" customHeight="1" x14ac:dyDescent="0.3">
      <c r="A15">
        <v>14</v>
      </c>
      <c r="B15" t="s">
        <v>151</v>
      </c>
      <c r="C15">
        <v>9268874</v>
      </c>
      <c r="D15" t="s">
        <v>114</v>
      </c>
      <c r="E15">
        <v>44</v>
      </c>
      <c r="F15" t="s">
        <v>76</v>
      </c>
      <c r="G15" s="10">
        <v>45308</v>
      </c>
      <c r="H15" t="s">
        <v>37</v>
      </c>
      <c r="I15" t="s">
        <v>82</v>
      </c>
      <c r="J15" t="s">
        <v>47</v>
      </c>
      <c r="K15" t="s">
        <v>115</v>
      </c>
      <c r="L15" t="s">
        <v>56</v>
      </c>
      <c r="M15" t="s">
        <v>122</v>
      </c>
      <c r="N15">
        <v>6</v>
      </c>
      <c r="O15" t="s">
        <v>117</v>
      </c>
      <c r="P15" s="11">
        <v>7500</v>
      </c>
      <c r="Q15" t="s">
        <v>62</v>
      </c>
      <c r="R15" s="11">
        <f t="shared" si="0"/>
        <v>7500</v>
      </c>
      <c r="S15" t="str">
        <f t="shared" si="1"/>
        <v>One-Time</v>
      </c>
    </row>
    <row r="16" spans="1:21" ht="15" customHeight="1" x14ac:dyDescent="0.3">
      <c r="A16">
        <v>15</v>
      </c>
      <c r="B16" t="s">
        <v>152</v>
      </c>
      <c r="C16">
        <v>442660</v>
      </c>
      <c r="D16" t="s">
        <v>114</v>
      </c>
      <c r="E16">
        <v>52</v>
      </c>
      <c r="F16" t="s">
        <v>77</v>
      </c>
      <c r="G16" s="10">
        <v>45309</v>
      </c>
      <c r="H16" t="s">
        <v>37</v>
      </c>
      <c r="I16" t="s">
        <v>82</v>
      </c>
      <c r="J16" t="s">
        <v>47</v>
      </c>
      <c r="K16" t="s">
        <v>115</v>
      </c>
      <c r="L16" t="s">
        <v>56</v>
      </c>
      <c r="M16" t="s">
        <v>122</v>
      </c>
      <c r="N16">
        <v>6</v>
      </c>
      <c r="O16" t="s">
        <v>117</v>
      </c>
      <c r="P16" s="11">
        <v>7500</v>
      </c>
      <c r="Q16" t="s">
        <v>63</v>
      </c>
      <c r="R16" s="11">
        <f t="shared" si="0"/>
        <v>7500</v>
      </c>
      <c r="S16" t="str">
        <f t="shared" si="1"/>
        <v>One-Time</v>
      </c>
    </row>
    <row r="17" spans="1:19" ht="15" customHeight="1" x14ac:dyDescent="0.3">
      <c r="A17">
        <v>16</v>
      </c>
      <c r="B17" t="s">
        <v>153</v>
      </c>
      <c r="C17">
        <v>7482261</v>
      </c>
      <c r="D17" t="s">
        <v>114</v>
      </c>
      <c r="E17">
        <v>18</v>
      </c>
      <c r="F17" t="s">
        <v>75</v>
      </c>
      <c r="G17" s="10">
        <v>45310</v>
      </c>
      <c r="H17" t="s">
        <v>37</v>
      </c>
      <c r="I17" t="s">
        <v>82</v>
      </c>
      <c r="J17" t="s">
        <v>47</v>
      </c>
      <c r="K17" t="s">
        <v>115</v>
      </c>
      <c r="L17" t="s">
        <v>56</v>
      </c>
      <c r="M17" t="s">
        <v>122</v>
      </c>
      <c r="N17">
        <v>2</v>
      </c>
      <c r="O17" t="s">
        <v>117</v>
      </c>
      <c r="P17" s="11">
        <v>5800</v>
      </c>
      <c r="Q17" t="s">
        <v>64</v>
      </c>
      <c r="R17" s="11">
        <f t="shared" si="0"/>
        <v>5800</v>
      </c>
      <c r="S17" t="str">
        <f t="shared" si="1"/>
        <v>One-Time</v>
      </c>
    </row>
    <row r="18" spans="1:19" ht="15" customHeight="1" x14ac:dyDescent="0.3">
      <c r="A18">
        <v>17</v>
      </c>
      <c r="B18" t="s">
        <v>154</v>
      </c>
      <c r="C18">
        <v>7039962</v>
      </c>
      <c r="D18" t="s">
        <v>114</v>
      </c>
      <c r="E18">
        <v>30</v>
      </c>
      <c r="F18" t="s">
        <v>76</v>
      </c>
      <c r="G18" s="10">
        <v>45326</v>
      </c>
      <c r="H18" t="s">
        <v>38</v>
      </c>
      <c r="I18" t="s">
        <v>82</v>
      </c>
      <c r="J18" t="s">
        <v>47</v>
      </c>
      <c r="K18" t="s">
        <v>115</v>
      </c>
      <c r="L18" t="s">
        <v>56</v>
      </c>
      <c r="M18" t="s">
        <v>122</v>
      </c>
      <c r="N18">
        <v>32</v>
      </c>
      <c r="O18" t="s">
        <v>117</v>
      </c>
      <c r="P18" s="11">
        <v>5800</v>
      </c>
      <c r="Q18" t="s">
        <v>155</v>
      </c>
      <c r="R18" s="11">
        <f t="shared" si="0"/>
        <v>5800</v>
      </c>
      <c r="S18" t="str">
        <f t="shared" si="1"/>
        <v>One-Time</v>
      </c>
    </row>
    <row r="19" spans="1:19" ht="15" customHeight="1" x14ac:dyDescent="0.3">
      <c r="A19">
        <v>18</v>
      </c>
      <c r="B19" t="s">
        <v>156</v>
      </c>
      <c r="C19">
        <v>3422488</v>
      </c>
      <c r="D19" t="s">
        <v>114</v>
      </c>
      <c r="E19">
        <v>48</v>
      </c>
      <c r="F19" t="s">
        <v>76</v>
      </c>
      <c r="G19" s="10">
        <v>45326</v>
      </c>
      <c r="H19" t="s">
        <v>38</v>
      </c>
      <c r="I19" t="s">
        <v>82</v>
      </c>
      <c r="J19" t="s">
        <v>47</v>
      </c>
      <c r="K19" t="s">
        <v>121</v>
      </c>
      <c r="L19" t="s">
        <v>56</v>
      </c>
      <c r="M19" t="s">
        <v>122</v>
      </c>
      <c r="N19">
        <v>3</v>
      </c>
      <c r="O19" t="s">
        <v>117</v>
      </c>
      <c r="P19" s="11">
        <v>5800</v>
      </c>
      <c r="Q19" t="s">
        <v>157</v>
      </c>
      <c r="R19" s="11">
        <f t="shared" si="0"/>
        <v>5800</v>
      </c>
      <c r="S19" t="str">
        <f t="shared" si="1"/>
        <v>One-Time</v>
      </c>
    </row>
    <row r="20" spans="1:19" ht="15" customHeight="1" x14ac:dyDescent="0.3">
      <c r="A20">
        <v>19</v>
      </c>
      <c r="B20" t="s">
        <v>158</v>
      </c>
      <c r="C20">
        <v>8974687</v>
      </c>
      <c r="D20" t="s">
        <v>114</v>
      </c>
      <c r="E20">
        <v>24</v>
      </c>
      <c r="F20" t="s">
        <v>75</v>
      </c>
      <c r="G20" s="10">
        <v>45326</v>
      </c>
      <c r="H20" t="s">
        <v>38</v>
      </c>
      <c r="I20" t="s">
        <v>82</v>
      </c>
      <c r="J20" t="s">
        <v>47</v>
      </c>
      <c r="K20" t="s">
        <v>121</v>
      </c>
      <c r="L20" t="s">
        <v>56</v>
      </c>
      <c r="M20" t="s">
        <v>122</v>
      </c>
      <c r="N20">
        <v>48</v>
      </c>
      <c r="O20" t="s">
        <v>117</v>
      </c>
      <c r="P20" s="11">
        <v>5800</v>
      </c>
      <c r="Q20" t="s">
        <v>66</v>
      </c>
      <c r="R20" s="11">
        <f t="shared" si="0"/>
        <v>5800</v>
      </c>
      <c r="S20" t="str">
        <f t="shared" si="1"/>
        <v>One-Time</v>
      </c>
    </row>
    <row r="21" spans="1:19" ht="15" customHeight="1" x14ac:dyDescent="0.3">
      <c r="A21">
        <v>20</v>
      </c>
      <c r="B21" t="s">
        <v>159</v>
      </c>
      <c r="C21">
        <v>244536</v>
      </c>
      <c r="D21" t="s">
        <v>114</v>
      </c>
      <c r="E21">
        <v>46</v>
      </c>
      <c r="F21" t="s">
        <v>76</v>
      </c>
      <c r="G21" s="10">
        <v>45326</v>
      </c>
      <c r="H21" t="s">
        <v>38</v>
      </c>
      <c r="I21" t="s">
        <v>82</v>
      </c>
      <c r="J21" t="s">
        <v>47</v>
      </c>
      <c r="K21" t="s">
        <v>121</v>
      </c>
      <c r="L21" t="s">
        <v>56</v>
      </c>
      <c r="M21" t="s">
        <v>122</v>
      </c>
      <c r="N21">
        <v>5</v>
      </c>
      <c r="O21" t="s">
        <v>117</v>
      </c>
      <c r="P21" s="11">
        <v>5800</v>
      </c>
      <c r="Q21" t="s">
        <v>160</v>
      </c>
      <c r="R21" s="11">
        <f t="shared" si="0"/>
        <v>5800</v>
      </c>
      <c r="S21" t="str">
        <f t="shared" si="1"/>
        <v>One-Time</v>
      </c>
    </row>
    <row r="22" spans="1:19" ht="15" customHeight="1" x14ac:dyDescent="0.3">
      <c r="A22">
        <v>21</v>
      </c>
      <c r="B22" t="s">
        <v>161</v>
      </c>
      <c r="C22">
        <v>4376789</v>
      </c>
      <c r="D22" t="s">
        <v>114</v>
      </c>
      <c r="E22">
        <v>43</v>
      </c>
      <c r="F22" t="s">
        <v>76</v>
      </c>
      <c r="G22" s="10">
        <v>45326</v>
      </c>
      <c r="H22" t="s">
        <v>38</v>
      </c>
      <c r="I22" t="s">
        <v>82</v>
      </c>
      <c r="J22" t="s">
        <v>47</v>
      </c>
      <c r="K22" t="s">
        <v>121</v>
      </c>
      <c r="L22" t="s">
        <v>56</v>
      </c>
      <c r="M22" t="s">
        <v>122</v>
      </c>
      <c r="N22">
        <v>2</v>
      </c>
      <c r="O22" t="s">
        <v>117</v>
      </c>
      <c r="P22" s="11">
        <v>5800</v>
      </c>
      <c r="Q22" t="s">
        <v>69</v>
      </c>
      <c r="R22" s="11">
        <f t="shared" si="0"/>
        <v>5800</v>
      </c>
      <c r="S22" t="str">
        <f t="shared" si="1"/>
        <v>One-Time</v>
      </c>
    </row>
    <row r="23" spans="1:19" ht="15" customHeight="1" x14ac:dyDescent="0.3">
      <c r="A23">
        <v>22</v>
      </c>
      <c r="B23" t="s">
        <v>162</v>
      </c>
      <c r="C23">
        <v>1943310</v>
      </c>
      <c r="D23" t="s">
        <v>114</v>
      </c>
      <c r="E23">
        <v>31</v>
      </c>
      <c r="F23" t="s">
        <v>76</v>
      </c>
      <c r="G23" s="10">
        <v>45326</v>
      </c>
      <c r="H23" t="s">
        <v>38</v>
      </c>
      <c r="I23" t="s">
        <v>84</v>
      </c>
      <c r="J23" t="s">
        <v>47</v>
      </c>
      <c r="K23" t="s">
        <v>163</v>
      </c>
      <c r="L23" t="s">
        <v>57</v>
      </c>
      <c r="M23" t="s">
        <v>122</v>
      </c>
      <c r="N23">
        <v>9</v>
      </c>
      <c r="O23" t="s">
        <v>117</v>
      </c>
      <c r="P23" s="11">
        <v>5500</v>
      </c>
      <c r="Q23" t="s">
        <v>64</v>
      </c>
      <c r="R23" s="11">
        <f t="shared" si="0"/>
        <v>0</v>
      </c>
      <c r="S23" t="str">
        <f t="shared" si="1"/>
        <v>One-Time</v>
      </c>
    </row>
    <row r="24" spans="1:19" ht="15" customHeight="1" x14ac:dyDescent="0.3">
      <c r="A24">
        <v>23</v>
      </c>
      <c r="B24" t="s">
        <v>164</v>
      </c>
      <c r="C24">
        <v>950590</v>
      </c>
      <c r="D24" t="s">
        <v>114</v>
      </c>
      <c r="E24">
        <v>30</v>
      </c>
      <c r="F24" t="s">
        <v>76</v>
      </c>
      <c r="G24" s="10">
        <v>45326</v>
      </c>
      <c r="H24" t="s">
        <v>38</v>
      </c>
      <c r="I24" t="s">
        <v>82</v>
      </c>
      <c r="J24" t="s">
        <v>47</v>
      </c>
      <c r="K24" t="s">
        <v>165</v>
      </c>
      <c r="L24" t="s">
        <v>57</v>
      </c>
      <c r="M24" t="s">
        <v>122</v>
      </c>
      <c r="N24">
        <v>7</v>
      </c>
      <c r="O24" t="s">
        <v>117</v>
      </c>
      <c r="P24" s="11">
        <v>5500</v>
      </c>
      <c r="Q24" t="s">
        <v>166</v>
      </c>
      <c r="R24" s="11">
        <f t="shared" si="0"/>
        <v>5500</v>
      </c>
      <c r="S24" t="str">
        <f t="shared" si="1"/>
        <v>One-Time</v>
      </c>
    </row>
    <row r="25" spans="1:19" ht="15" customHeight="1" x14ac:dyDescent="0.3">
      <c r="A25">
        <v>24</v>
      </c>
      <c r="B25" t="s">
        <v>167</v>
      </c>
      <c r="C25">
        <v>3935670</v>
      </c>
      <c r="D25" t="s">
        <v>114</v>
      </c>
      <c r="E25">
        <v>19</v>
      </c>
      <c r="F25" t="s">
        <v>75</v>
      </c>
      <c r="G25" s="10">
        <v>45326</v>
      </c>
      <c r="H25" t="s">
        <v>38</v>
      </c>
      <c r="I25" t="s">
        <v>82</v>
      </c>
      <c r="J25" t="s">
        <v>47</v>
      </c>
      <c r="K25" t="s">
        <v>168</v>
      </c>
      <c r="L25" t="s">
        <v>57</v>
      </c>
      <c r="M25" t="s">
        <v>122</v>
      </c>
      <c r="N25">
        <v>2</v>
      </c>
      <c r="O25" t="s">
        <v>117</v>
      </c>
      <c r="P25" s="11">
        <v>5500</v>
      </c>
      <c r="Q25" t="s">
        <v>169</v>
      </c>
      <c r="R25" s="11">
        <f t="shared" si="0"/>
        <v>5500</v>
      </c>
      <c r="S25" t="str">
        <f t="shared" si="1"/>
        <v>One-Time</v>
      </c>
    </row>
    <row r="26" spans="1:19" ht="15" customHeight="1" x14ac:dyDescent="0.3">
      <c r="A26">
        <v>25</v>
      </c>
      <c r="B26" t="s">
        <v>170</v>
      </c>
      <c r="C26">
        <v>398999</v>
      </c>
      <c r="D26" t="s">
        <v>114</v>
      </c>
      <c r="E26">
        <v>37</v>
      </c>
      <c r="F26" t="s">
        <v>76</v>
      </c>
      <c r="G26" s="10">
        <v>45326</v>
      </c>
      <c r="H26" t="s">
        <v>38</v>
      </c>
      <c r="I26" t="s">
        <v>82</v>
      </c>
      <c r="J26" t="s">
        <v>50</v>
      </c>
      <c r="K26" t="s">
        <v>171</v>
      </c>
      <c r="L26" t="s">
        <v>57</v>
      </c>
      <c r="M26" t="s">
        <v>116</v>
      </c>
      <c r="N26">
        <v>8</v>
      </c>
      <c r="O26" t="s">
        <v>117</v>
      </c>
      <c r="P26" s="11">
        <v>5500</v>
      </c>
      <c r="Q26" t="s">
        <v>63</v>
      </c>
      <c r="R26" s="11">
        <f t="shared" si="0"/>
        <v>5500</v>
      </c>
      <c r="S26" t="str">
        <f t="shared" si="1"/>
        <v>One-Time</v>
      </c>
    </row>
    <row r="27" spans="1:19" ht="15" customHeight="1" x14ac:dyDescent="0.3">
      <c r="A27">
        <v>26</v>
      </c>
      <c r="B27" t="s">
        <v>172</v>
      </c>
      <c r="C27">
        <v>5438780</v>
      </c>
      <c r="D27" t="s">
        <v>114</v>
      </c>
      <c r="E27">
        <v>37</v>
      </c>
      <c r="F27" t="s">
        <v>76</v>
      </c>
      <c r="G27" s="10">
        <v>45326</v>
      </c>
      <c r="H27" t="s">
        <v>38</v>
      </c>
      <c r="I27" t="s">
        <v>82</v>
      </c>
      <c r="J27" t="s">
        <v>50</v>
      </c>
      <c r="K27" t="s">
        <v>173</v>
      </c>
      <c r="L27" t="s">
        <v>57</v>
      </c>
      <c r="M27" t="s">
        <v>116</v>
      </c>
      <c r="N27">
        <v>4</v>
      </c>
      <c r="O27" t="s">
        <v>117</v>
      </c>
      <c r="P27" s="11">
        <v>5500</v>
      </c>
      <c r="Q27" t="s">
        <v>174</v>
      </c>
      <c r="R27" s="11">
        <f t="shared" si="0"/>
        <v>5500</v>
      </c>
      <c r="S27" t="str">
        <f t="shared" si="1"/>
        <v>One-Time</v>
      </c>
    </row>
    <row r="28" spans="1:19" ht="15" customHeight="1" x14ac:dyDescent="0.3">
      <c r="A28">
        <v>27</v>
      </c>
      <c r="B28" t="s">
        <v>175</v>
      </c>
      <c r="C28">
        <v>8343960</v>
      </c>
      <c r="D28" t="s">
        <v>114</v>
      </c>
      <c r="E28">
        <v>62</v>
      </c>
      <c r="F28" t="s">
        <v>77</v>
      </c>
      <c r="G28" s="10">
        <v>45326</v>
      </c>
      <c r="H28" t="s">
        <v>38</v>
      </c>
      <c r="I28" t="s">
        <v>82</v>
      </c>
      <c r="J28" t="s">
        <v>50</v>
      </c>
      <c r="K28" t="s">
        <v>176</v>
      </c>
      <c r="L28" t="s">
        <v>57</v>
      </c>
      <c r="M28" t="s">
        <v>116</v>
      </c>
      <c r="N28">
        <v>5</v>
      </c>
      <c r="O28" t="s">
        <v>117</v>
      </c>
      <c r="P28" s="11">
        <v>6000</v>
      </c>
      <c r="Q28" t="s">
        <v>177</v>
      </c>
      <c r="R28" s="11">
        <f t="shared" si="0"/>
        <v>6000</v>
      </c>
      <c r="S28" t="str">
        <f t="shared" si="1"/>
        <v>One-Time</v>
      </c>
    </row>
    <row r="29" spans="1:19" ht="15" customHeight="1" x14ac:dyDescent="0.3">
      <c r="A29">
        <v>28</v>
      </c>
      <c r="B29" t="s">
        <v>178</v>
      </c>
      <c r="C29">
        <v>986513</v>
      </c>
      <c r="D29" t="s">
        <v>114</v>
      </c>
      <c r="E29">
        <v>20</v>
      </c>
      <c r="F29" t="s">
        <v>75</v>
      </c>
      <c r="G29" s="10">
        <v>45326</v>
      </c>
      <c r="H29" t="s">
        <v>38</v>
      </c>
      <c r="I29" t="s">
        <v>82</v>
      </c>
      <c r="J29" t="s">
        <v>50</v>
      </c>
      <c r="K29" t="s">
        <v>179</v>
      </c>
      <c r="L29" t="s">
        <v>57</v>
      </c>
      <c r="M29" t="s">
        <v>116</v>
      </c>
      <c r="N29">
        <v>6</v>
      </c>
      <c r="O29" t="s">
        <v>117</v>
      </c>
      <c r="P29" s="11">
        <v>6000</v>
      </c>
      <c r="Q29" t="s">
        <v>180</v>
      </c>
      <c r="R29" s="11">
        <f t="shared" si="0"/>
        <v>6000</v>
      </c>
      <c r="S29" t="str">
        <f t="shared" si="1"/>
        <v>One-Time</v>
      </c>
    </row>
    <row r="30" spans="1:19" ht="15" customHeight="1" x14ac:dyDescent="0.3">
      <c r="A30">
        <v>29</v>
      </c>
      <c r="B30" t="s">
        <v>181</v>
      </c>
      <c r="C30">
        <v>947452</v>
      </c>
      <c r="D30" t="s">
        <v>114</v>
      </c>
      <c r="E30">
        <v>77</v>
      </c>
      <c r="F30" t="s">
        <v>77</v>
      </c>
      <c r="G30" s="10">
        <v>45326</v>
      </c>
      <c r="H30" t="s">
        <v>38</v>
      </c>
      <c r="I30" t="s">
        <v>82</v>
      </c>
      <c r="J30" t="s">
        <v>50</v>
      </c>
      <c r="K30" t="s">
        <v>182</v>
      </c>
      <c r="L30" t="s">
        <v>57</v>
      </c>
      <c r="M30" t="s">
        <v>116</v>
      </c>
      <c r="N30">
        <v>31</v>
      </c>
      <c r="O30" t="s">
        <v>117</v>
      </c>
      <c r="P30" s="11">
        <v>6000</v>
      </c>
      <c r="Q30" t="s">
        <v>65</v>
      </c>
      <c r="R30" s="11">
        <f t="shared" si="0"/>
        <v>6000</v>
      </c>
      <c r="S30" t="str">
        <f t="shared" si="1"/>
        <v>One-Time</v>
      </c>
    </row>
    <row r="31" spans="1:19" ht="15" customHeight="1" x14ac:dyDescent="0.3">
      <c r="A31">
        <v>30</v>
      </c>
      <c r="B31" t="s">
        <v>183</v>
      </c>
      <c r="C31">
        <v>1326018</v>
      </c>
      <c r="D31" t="s">
        <v>114</v>
      </c>
      <c r="E31">
        <v>26</v>
      </c>
      <c r="F31" t="s">
        <v>75</v>
      </c>
      <c r="G31" s="10">
        <v>45326</v>
      </c>
      <c r="H31" t="s">
        <v>38</v>
      </c>
      <c r="I31" t="s">
        <v>82</v>
      </c>
      <c r="J31" t="s">
        <v>50</v>
      </c>
      <c r="K31" t="s">
        <v>184</v>
      </c>
      <c r="L31" t="s">
        <v>57</v>
      </c>
      <c r="M31" t="s">
        <v>116</v>
      </c>
      <c r="N31">
        <v>2</v>
      </c>
      <c r="O31" t="s">
        <v>117</v>
      </c>
      <c r="P31" s="11">
        <v>6000</v>
      </c>
      <c r="Q31" t="s">
        <v>185</v>
      </c>
      <c r="R31" s="11">
        <f t="shared" si="0"/>
        <v>6000</v>
      </c>
      <c r="S31" t="str">
        <f t="shared" si="1"/>
        <v>One-Time</v>
      </c>
    </row>
    <row r="32" spans="1:19" ht="15" customHeight="1" x14ac:dyDescent="0.3">
      <c r="A32">
        <v>31</v>
      </c>
      <c r="B32" t="s">
        <v>186</v>
      </c>
      <c r="C32">
        <v>9281717</v>
      </c>
      <c r="D32" t="s">
        <v>114</v>
      </c>
      <c r="E32">
        <v>40</v>
      </c>
      <c r="F32" t="s">
        <v>76</v>
      </c>
      <c r="G32" s="10">
        <v>45326</v>
      </c>
      <c r="H32" t="s">
        <v>38</v>
      </c>
      <c r="I32" t="s">
        <v>82</v>
      </c>
      <c r="J32" t="s">
        <v>50</v>
      </c>
      <c r="K32" t="s">
        <v>187</v>
      </c>
      <c r="L32" t="s">
        <v>57</v>
      </c>
      <c r="M32" t="s">
        <v>116</v>
      </c>
      <c r="N32">
        <v>5</v>
      </c>
      <c r="O32" t="s">
        <v>117</v>
      </c>
      <c r="P32" s="11">
        <v>6000</v>
      </c>
      <c r="Q32" t="s">
        <v>188</v>
      </c>
      <c r="R32" s="11">
        <f t="shared" si="0"/>
        <v>6000</v>
      </c>
      <c r="S32" t="str">
        <f t="shared" si="1"/>
        <v>One-Time</v>
      </c>
    </row>
    <row r="33" spans="1:19" ht="15" customHeight="1" x14ac:dyDescent="0.3">
      <c r="A33">
        <v>32</v>
      </c>
      <c r="B33" t="s">
        <v>189</v>
      </c>
      <c r="C33">
        <v>6866119</v>
      </c>
      <c r="D33" t="s">
        <v>114</v>
      </c>
      <c r="E33">
        <v>52</v>
      </c>
      <c r="F33" t="s">
        <v>77</v>
      </c>
      <c r="G33" s="10">
        <v>45326</v>
      </c>
      <c r="H33" t="s">
        <v>38</v>
      </c>
      <c r="I33" t="s">
        <v>82</v>
      </c>
      <c r="J33" t="s">
        <v>50</v>
      </c>
      <c r="K33" t="s">
        <v>190</v>
      </c>
      <c r="L33" t="s">
        <v>57</v>
      </c>
      <c r="M33" t="s">
        <v>116</v>
      </c>
      <c r="N33">
        <v>5</v>
      </c>
      <c r="O33" t="s">
        <v>117</v>
      </c>
      <c r="P33" s="11">
        <v>6000</v>
      </c>
      <c r="Q33" t="s">
        <v>191</v>
      </c>
      <c r="R33" s="11">
        <f t="shared" si="0"/>
        <v>6000</v>
      </c>
      <c r="S33" t="str">
        <f t="shared" si="1"/>
        <v>One-Time</v>
      </c>
    </row>
    <row r="34" spans="1:19" ht="15" customHeight="1" x14ac:dyDescent="0.3">
      <c r="A34">
        <v>33</v>
      </c>
      <c r="B34" t="s">
        <v>192</v>
      </c>
      <c r="C34">
        <v>9400852</v>
      </c>
      <c r="D34" t="s">
        <v>114</v>
      </c>
      <c r="E34">
        <v>38</v>
      </c>
      <c r="F34" t="s">
        <v>76</v>
      </c>
      <c r="G34" s="10">
        <v>45326</v>
      </c>
      <c r="H34" t="s">
        <v>38</v>
      </c>
      <c r="I34" t="s">
        <v>82</v>
      </c>
      <c r="J34" t="s">
        <v>50</v>
      </c>
      <c r="K34" t="s">
        <v>193</v>
      </c>
      <c r="L34" t="s">
        <v>57</v>
      </c>
      <c r="M34" t="s">
        <v>116</v>
      </c>
      <c r="N34">
        <v>8</v>
      </c>
      <c r="O34" t="s">
        <v>117</v>
      </c>
      <c r="P34" s="11">
        <v>6000</v>
      </c>
      <c r="Q34" t="s">
        <v>194</v>
      </c>
      <c r="R34" s="11">
        <f t="shared" si="0"/>
        <v>6000</v>
      </c>
      <c r="S34" t="str">
        <f t="shared" si="1"/>
        <v>One-Time</v>
      </c>
    </row>
    <row r="35" spans="1:19" ht="15" customHeight="1" x14ac:dyDescent="0.3">
      <c r="A35">
        <v>34</v>
      </c>
      <c r="B35" t="s">
        <v>195</v>
      </c>
      <c r="C35">
        <v>2606836</v>
      </c>
      <c r="D35" t="s">
        <v>114</v>
      </c>
      <c r="E35">
        <v>39</v>
      </c>
      <c r="F35" t="s">
        <v>76</v>
      </c>
      <c r="G35" s="10">
        <v>45326</v>
      </c>
      <c r="H35" t="s">
        <v>38</v>
      </c>
      <c r="I35" t="s">
        <v>82</v>
      </c>
      <c r="J35" t="s">
        <v>50</v>
      </c>
      <c r="K35" t="s">
        <v>196</v>
      </c>
      <c r="L35" t="s">
        <v>57</v>
      </c>
      <c r="M35" t="s">
        <v>116</v>
      </c>
      <c r="N35">
        <v>9</v>
      </c>
      <c r="O35" t="s">
        <v>117</v>
      </c>
      <c r="P35" s="11">
        <v>6000</v>
      </c>
      <c r="Q35" t="s">
        <v>150</v>
      </c>
      <c r="R35" s="11">
        <f t="shared" si="0"/>
        <v>6000</v>
      </c>
      <c r="S35" t="str">
        <f t="shared" si="1"/>
        <v>One-Time</v>
      </c>
    </row>
    <row r="36" spans="1:19" ht="15" customHeight="1" x14ac:dyDescent="0.3">
      <c r="A36">
        <v>35</v>
      </c>
      <c r="B36" t="s">
        <v>197</v>
      </c>
      <c r="C36">
        <v>8481179</v>
      </c>
      <c r="D36" t="s">
        <v>114</v>
      </c>
      <c r="E36">
        <v>37</v>
      </c>
      <c r="F36" t="s">
        <v>76</v>
      </c>
      <c r="G36" s="10">
        <v>45326</v>
      </c>
      <c r="H36" t="s">
        <v>38</v>
      </c>
      <c r="I36" t="s">
        <v>82</v>
      </c>
      <c r="J36" t="s">
        <v>50</v>
      </c>
      <c r="K36" t="s">
        <v>198</v>
      </c>
      <c r="L36" t="s">
        <v>57</v>
      </c>
      <c r="M36" t="s">
        <v>116</v>
      </c>
      <c r="N36">
        <v>4</v>
      </c>
      <c r="O36" t="s">
        <v>117</v>
      </c>
      <c r="P36" s="11">
        <v>6000</v>
      </c>
      <c r="Q36" t="s">
        <v>65</v>
      </c>
      <c r="R36" s="11">
        <f t="shared" si="0"/>
        <v>6000</v>
      </c>
      <c r="S36" t="str">
        <f t="shared" si="1"/>
        <v>One-Time</v>
      </c>
    </row>
    <row r="37" spans="1:19" ht="15" customHeight="1" x14ac:dyDescent="0.3">
      <c r="A37">
        <v>36</v>
      </c>
      <c r="B37" t="s">
        <v>199</v>
      </c>
      <c r="C37">
        <v>9686095</v>
      </c>
      <c r="D37" t="s">
        <v>114</v>
      </c>
      <c r="E37">
        <v>73</v>
      </c>
      <c r="F37" t="s">
        <v>77</v>
      </c>
      <c r="G37" s="10">
        <v>45326</v>
      </c>
      <c r="H37" t="s">
        <v>38</v>
      </c>
      <c r="I37" t="s">
        <v>82</v>
      </c>
      <c r="J37" t="s">
        <v>50</v>
      </c>
      <c r="K37" t="s">
        <v>163</v>
      </c>
      <c r="L37" t="s">
        <v>57</v>
      </c>
      <c r="M37" t="s">
        <v>116</v>
      </c>
      <c r="N37">
        <v>7</v>
      </c>
      <c r="O37" t="s">
        <v>117</v>
      </c>
      <c r="P37" s="11">
        <v>6000</v>
      </c>
      <c r="Q37" t="s">
        <v>200</v>
      </c>
      <c r="R37" s="11">
        <f t="shared" si="0"/>
        <v>6000</v>
      </c>
      <c r="S37" t="str">
        <f t="shared" si="1"/>
        <v>One-Time</v>
      </c>
    </row>
    <row r="38" spans="1:19" ht="15" customHeight="1" x14ac:dyDescent="0.3">
      <c r="A38">
        <v>37</v>
      </c>
      <c r="B38" t="s">
        <v>201</v>
      </c>
      <c r="C38">
        <v>9033015</v>
      </c>
      <c r="D38" t="s">
        <v>114</v>
      </c>
      <c r="E38">
        <v>41</v>
      </c>
      <c r="F38" t="s">
        <v>76</v>
      </c>
      <c r="G38" s="10">
        <v>45326</v>
      </c>
      <c r="H38" t="s">
        <v>38</v>
      </c>
      <c r="I38" t="s">
        <v>82</v>
      </c>
      <c r="J38" t="s">
        <v>50</v>
      </c>
      <c r="K38" t="s">
        <v>163</v>
      </c>
      <c r="L38" t="s">
        <v>57</v>
      </c>
      <c r="M38" t="s">
        <v>116</v>
      </c>
      <c r="N38">
        <v>8</v>
      </c>
      <c r="O38" t="s">
        <v>117</v>
      </c>
      <c r="P38" s="11">
        <v>6000</v>
      </c>
      <c r="Q38" t="s">
        <v>202</v>
      </c>
      <c r="R38" s="11">
        <f t="shared" si="0"/>
        <v>6000</v>
      </c>
      <c r="S38" t="str">
        <f t="shared" si="1"/>
        <v>One-Time</v>
      </c>
    </row>
    <row r="39" spans="1:19" ht="15" customHeight="1" x14ac:dyDescent="0.3">
      <c r="A39">
        <v>38</v>
      </c>
      <c r="B39" t="s">
        <v>203</v>
      </c>
      <c r="C39">
        <v>6932218</v>
      </c>
      <c r="D39" t="s">
        <v>114</v>
      </c>
      <c r="E39">
        <v>41</v>
      </c>
      <c r="F39" t="s">
        <v>76</v>
      </c>
      <c r="G39" s="10">
        <v>45326</v>
      </c>
      <c r="H39" t="s">
        <v>38</v>
      </c>
      <c r="I39" t="s">
        <v>82</v>
      </c>
      <c r="J39" t="s">
        <v>50</v>
      </c>
      <c r="K39" t="s">
        <v>163</v>
      </c>
      <c r="L39" t="s">
        <v>57</v>
      </c>
      <c r="M39" t="s">
        <v>116</v>
      </c>
      <c r="N39">
        <v>9</v>
      </c>
      <c r="O39" t="s">
        <v>117</v>
      </c>
      <c r="P39" s="11">
        <v>6000</v>
      </c>
      <c r="Q39" t="s">
        <v>204</v>
      </c>
      <c r="R39" s="11">
        <f t="shared" si="0"/>
        <v>6000</v>
      </c>
      <c r="S39" t="str">
        <f t="shared" si="1"/>
        <v>One-Time</v>
      </c>
    </row>
    <row r="40" spans="1:19" ht="15" customHeight="1" x14ac:dyDescent="0.3">
      <c r="A40">
        <v>39</v>
      </c>
      <c r="B40" t="s">
        <v>205</v>
      </c>
      <c r="C40">
        <v>8796291</v>
      </c>
      <c r="D40" t="s">
        <v>114</v>
      </c>
      <c r="E40">
        <v>35</v>
      </c>
      <c r="F40" t="s">
        <v>76</v>
      </c>
      <c r="G40" s="10">
        <v>45326</v>
      </c>
      <c r="H40" t="s">
        <v>38</v>
      </c>
      <c r="I40" t="s">
        <v>82</v>
      </c>
      <c r="J40" t="s">
        <v>50</v>
      </c>
      <c r="K40" t="s">
        <v>163</v>
      </c>
      <c r="L40" t="s">
        <v>57</v>
      </c>
      <c r="M40" t="s">
        <v>116</v>
      </c>
      <c r="N40">
        <v>7</v>
      </c>
      <c r="O40" t="s">
        <v>117</v>
      </c>
      <c r="P40" s="11">
        <v>6000</v>
      </c>
      <c r="Q40" t="s">
        <v>71</v>
      </c>
      <c r="R40" s="11">
        <f t="shared" si="0"/>
        <v>6000</v>
      </c>
      <c r="S40" t="str">
        <f t="shared" si="1"/>
        <v>One-Time</v>
      </c>
    </row>
    <row r="41" spans="1:19" ht="15" customHeight="1" x14ac:dyDescent="0.3">
      <c r="A41">
        <v>40</v>
      </c>
      <c r="B41" t="s">
        <v>206</v>
      </c>
      <c r="C41">
        <v>9654105</v>
      </c>
      <c r="D41" t="s">
        <v>114</v>
      </c>
      <c r="E41">
        <v>72</v>
      </c>
      <c r="F41" t="s">
        <v>77</v>
      </c>
      <c r="G41" s="10">
        <v>45326</v>
      </c>
      <c r="H41" t="s">
        <v>38</v>
      </c>
      <c r="I41" t="s">
        <v>82</v>
      </c>
      <c r="J41" t="s">
        <v>50</v>
      </c>
      <c r="K41" t="s">
        <v>163</v>
      </c>
      <c r="L41" t="s">
        <v>57</v>
      </c>
      <c r="M41" t="s">
        <v>116</v>
      </c>
      <c r="N41">
        <v>6</v>
      </c>
      <c r="O41" t="s">
        <v>117</v>
      </c>
      <c r="P41" s="11">
        <v>6000</v>
      </c>
      <c r="Q41" t="s">
        <v>118</v>
      </c>
      <c r="R41" s="11">
        <f t="shared" si="0"/>
        <v>6000</v>
      </c>
      <c r="S41" t="str">
        <f t="shared" si="1"/>
        <v>One-Time</v>
      </c>
    </row>
    <row r="42" spans="1:19" ht="15" customHeight="1" x14ac:dyDescent="0.3">
      <c r="A42">
        <v>41</v>
      </c>
      <c r="B42" t="s">
        <v>207</v>
      </c>
      <c r="C42">
        <v>637532</v>
      </c>
      <c r="D42" t="s">
        <v>114</v>
      </c>
      <c r="E42">
        <v>39</v>
      </c>
      <c r="F42" t="s">
        <v>76</v>
      </c>
      <c r="G42" s="10">
        <v>45326</v>
      </c>
      <c r="H42" t="s">
        <v>38</v>
      </c>
      <c r="I42" t="s">
        <v>82</v>
      </c>
      <c r="J42" t="s">
        <v>50</v>
      </c>
      <c r="K42" t="s">
        <v>163</v>
      </c>
      <c r="L42" t="s">
        <v>57</v>
      </c>
      <c r="M42" t="s">
        <v>116</v>
      </c>
      <c r="N42">
        <v>2</v>
      </c>
      <c r="O42" t="s">
        <v>117</v>
      </c>
      <c r="P42" s="11">
        <v>6000</v>
      </c>
      <c r="Q42" t="s">
        <v>62</v>
      </c>
      <c r="R42" s="11">
        <f t="shared" si="0"/>
        <v>6000</v>
      </c>
      <c r="S42" t="str">
        <f t="shared" si="1"/>
        <v>Repeat</v>
      </c>
    </row>
    <row r="43" spans="1:19" ht="15" customHeight="1" x14ac:dyDescent="0.3">
      <c r="A43">
        <v>42</v>
      </c>
      <c r="B43" t="s">
        <v>207</v>
      </c>
      <c r="C43">
        <v>637532</v>
      </c>
      <c r="D43" t="s">
        <v>114</v>
      </c>
      <c r="E43">
        <v>39</v>
      </c>
      <c r="F43" t="s">
        <v>76</v>
      </c>
      <c r="G43" s="10">
        <v>45326</v>
      </c>
      <c r="H43" t="s">
        <v>38</v>
      </c>
      <c r="I43" t="s">
        <v>82</v>
      </c>
      <c r="J43" t="s">
        <v>50</v>
      </c>
      <c r="K43" t="s">
        <v>163</v>
      </c>
      <c r="L43" t="s">
        <v>57</v>
      </c>
      <c r="M43" t="s">
        <v>116</v>
      </c>
      <c r="N43">
        <v>8</v>
      </c>
      <c r="O43" t="s">
        <v>117</v>
      </c>
      <c r="P43" s="11">
        <v>5900</v>
      </c>
      <c r="Q43" t="s">
        <v>68</v>
      </c>
      <c r="R43" s="11">
        <f t="shared" si="0"/>
        <v>5900</v>
      </c>
      <c r="S43" t="str">
        <f t="shared" si="1"/>
        <v>Repeat</v>
      </c>
    </row>
    <row r="44" spans="1:19" ht="15" customHeight="1" x14ac:dyDescent="0.3">
      <c r="A44">
        <v>43</v>
      </c>
      <c r="B44" t="s">
        <v>208</v>
      </c>
      <c r="C44">
        <v>3393819</v>
      </c>
      <c r="D44" t="s">
        <v>114</v>
      </c>
      <c r="E44">
        <v>44</v>
      </c>
      <c r="F44" t="s">
        <v>76</v>
      </c>
      <c r="G44" s="10">
        <v>45326</v>
      </c>
      <c r="H44" t="s">
        <v>38</v>
      </c>
      <c r="I44" t="s">
        <v>82</v>
      </c>
      <c r="J44" t="s">
        <v>50</v>
      </c>
      <c r="K44" t="s">
        <v>163</v>
      </c>
      <c r="L44" t="s">
        <v>57</v>
      </c>
      <c r="M44" t="s">
        <v>116</v>
      </c>
      <c r="N44">
        <v>4</v>
      </c>
      <c r="O44" t="s">
        <v>117</v>
      </c>
      <c r="P44" s="11">
        <v>5900</v>
      </c>
      <c r="Q44" t="s">
        <v>68</v>
      </c>
      <c r="R44" s="11">
        <f t="shared" si="0"/>
        <v>5900</v>
      </c>
      <c r="S44" t="str">
        <f t="shared" si="1"/>
        <v>One-Time</v>
      </c>
    </row>
    <row r="45" spans="1:19" ht="15" customHeight="1" x14ac:dyDescent="0.3">
      <c r="A45">
        <v>44</v>
      </c>
      <c r="B45" t="s">
        <v>209</v>
      </c>
      <c r="C45">
        <v>5673590</v>
      </c>
      <c r="D45" t="s">
        <v>114</v>
      </c>
      <c r="E45">
        <v>22</v>
      </c>
      <c r="F45" t="s">
        <v>75</v>
      </c>
      <c r="G45" s="10">
        <v>45326</v>
      </c>
      <c r="H45" t="s">
        <v>38</v>
      </c>
      <c r="I45" t="s">
        <v>82</v>
      </c>
      <c r="J45" t="s">
        <v>50</v>
      </c>
      <c r="K45" t="s">
        <v>168</v>
      </c>
      <c r="L45" t="s">
        <v>57</v>
      </c>
      <c r="M45" t="s">
        <v>116</v>
      </c>
      <c r="N45">
        <v>6</v>
      </c>
      <c r="O45" t="s">
        <v>117</v>
      </c>
      <c r="P45" s="11">
        <v>5900</v>
      </c>
      <c r="Q45" t="s">
        <v>210</v>
      </c>
      <c r="R45" s="11">
        <f t="shared" si="0"/>
        <v>5900</v>
      </c>
      <c r="S45" t="str">
        <f t="shared" si="1"/>
        <v>One-Time</v>
      </c>
    </row>
    <row r="46" spans="1:19" ht="15" customHeight="1" x14ac:dyDescent="0.3">
      <c r="A46">
        <v>45</v>
      </c>
      <c r="B46" t="s">
        <v>211</v>
      </c>
      <c r="C46">
        <v>5846829</v>
      </c>
      <c r="D46" t="s">
        <v>114</v>
      </c>
      <c r="E46">
        <v>64</v>
      </c>
      <c r="F46" t="s">
        <v>77</v>
      </c>
      <c r="G46" s="10">
        <v>45326</v>
      </c>
      <c r="H46" t="s">
        <v>38</v>
      </c>
      <c r="I46" t="s">
        <v>82</v>
      </c>
      <c r="J46" t="s">
        <v>50</v>
      </c>
      <c r="K46" t="s">
        <v>168</v>
      </c>
      <c r="L46" t="s">
        <v>57</v>
      </c>
      <c r="M46" t="s">
        <v>116</v>
      </c>
      <c r="N46">
        <v>5</v>
      </c>
      <c r="O46" t="s">
        <v>117</v>
      </c>
      <c r="P46" s="11">
        <v>5900</v>
      </c>
      <c r="Q46" t="s">
        <v>212</v>
      </c>
      <c r="R46" s="11">
        <f t="shared" si="0"/>
        <v>5900</v>
      </c>
      <c r="S46" t="str">
        <f t="shared" si="1"/>
        <v>One-Time</v>
      </c>
    </row>
    <row r="47" spans="1:19" ht="15" customHeight="1" x14ac:dyDescent="0.3">
      <c r="A47">
        <v>46</v>
      </c>
      <c r="B47" t="s">
        <v>213</v>
      </c>
      <c r="C47">
        <v>4087298</v>
      </c>
      <c r="D47" t="s">
        <v>114</v>
      </c>
      <c r="E47">
        <v>30</v>
      </c>
      <c r="F47" t="s">
        <v>76</v>
      </c>
      <c r="G47" s="10">
        <v>45326</v>
      </c>
      <c r="H47" t="s">
        <v>38</v>
      </c>
      <c r="I47" t="s">
        <v>82</v>
      </c>
      <c r="J47" t="s">
        <v>50</v>
      </c>
      <c r="K47" t="s">
        <v>168</v>
      </c>
      <c r="L47" t="s">
        <v>57</v>
      </c>
      <c r="M47" t="s">
        <v>116</v>
      </c>
      <c r="N47">
        <v>23</v>
      </c>
      <c r="O47" t="s">
        <v>117</v>
      </c>
      <c r="P47" s="11">
        <v>5900</v>
      </c>
      <c r="Q47" t="s">
        <v>214</v>
      </c>
      <c r="R47" s="11">
        <f t="shared" si="0"/>
        <v>5900</v>
      </c>
      <c r="S47" t="str">
        <f t="shared" si="1"/>
        <v>One-Time</v>
      </c>
    </row>
    <row r="48" spans="1:19" ht="15" customHeight="1" x14ac:dyDescent="0.3">
      <c r="A48">
        <v>47</v>
      </c>
      <c r="B48" t="s">
        <v>215</v>
      </c>
      <c r="C48">
        <v>7694743</v>
      </c>
      <c r="D48" t="s">
        <v>114</v>
      </c>
      <c r="E48">
        <v>46</v>
      </c>
      <c r="F48" t="s">
        <v>76</v>
      </c>
      <c r="G48" s="10">
        <v>45326</v>
      </c>
      <c r="H48" t="s">
        <v>38</v>
      </c>
      <c r="I48" t="s">
        <v>82</v>
      </c>
      <c r="J48" t="s">
        <v>50</v>
      </c>
      <c r="K48" t="s">
        <v>168</v>
      </c>
      <c r="L48" t="s">
        <v>57</v>
      </c>
      <c r="M48" t="s">
        <v>116</v>
      </c>
      <c r="N48">
        <v>2</v>
      </c>
      <c r="O48" t="s">
        <v>117</v>
      </c>
      <c r="P48" s="11">
        <v>5900</v>
      </c>
      <c r="Q48" t="s">
        <v>62</v>
      </c>
      <c r="R48" s="11">
        <f t="shared" si="0"/>
        <v>5900</v>
      </c>
      <c r="S48" t="str">
        <f t="shared" si="1"/>
        <v>One-Time</v>
      </c>
    </row>
    <row r="49" spans="1:19" ht="15" customHeight="1" x14ac:dyDescent="0.3">
      <c r="A49">
        <v>48</v>
      </c>
      <c r="B49" t="s">
        <v>216</v>
      </c>
      <c r="C49">
        <v>8068610</v>
      </c>
      <c r="D49" t="s">
        <v>114</v>
      </c>
      <c r="E49">
        <v>48</v>
      </c>
      <c r="F49" t="s">
        <v>76</v>
      </c>
      <c r="G49" s="10">
        <v>45326</v>
      </c>
      <c r="H49" t="s">
        <v>38</v>
      </c>
      <c r="I49" t="s">
        <v>82</v>
      </c>
      <c r="J49" t="s">
        <v>50</v>
      </c>
      <c r="K49" t="s">
        <v>168</v>
      </c>
      <c r="L49" t="s">
        <v>57</v>
      </c>
      <c r="M49" t="s">
        <v>116</v>
      </c>
      <c r="N49">
        <v>5</v>
      </c>
      <c r="O49" t="s">
        <v>117</v>
      </c>
      <c r="P49" s="11">
        <v>5900</v>
      </c>
      <c r="Q49" t="s">
        <v>68</v>
      </c>
      <c r="R49" s="11">
        <f t="shared" si="0"/>
        <v>5900</v>
      </c>
      <c r="S49" t="str">
        <f t="shared" si="1"/>
        <v>One-Time</v>
      </c>
    </row>
    <row r="50" spans="1:19" ht="15" customHeight="1" x14ac:dyDescent="0.3">
      <c r="A50">
        <v>49</v>
      </c>
      <c r="B50" t="s">
        <v>217</v>
      </c>
      <c r="C50">
        <v>7917674</v>
      </c>
      <c r="D50" t="s">
        <v>114</v>
      </c>
      <c r="E50">
        <v>25</v>
      </c>
      <c r="F50" t="s">
        <v>75</v>
      </c>
      <c r="G50" s="10">
        <v>45326</v>
      </c>
      <c r="H50" t="s">
        <v>38</v>
      </c>
      <c r="I50" t="s">
        <v>82</v>
      </c>
      <c r="J50" t="s">
        <v>50</v>
      </c>
      <c r="K50" t="s">
        <v>168</v>
      </c>
      <c r="L50" t="s">
        <v>57</v>
      </c>
      <c r="M50" t="s">
        <v>116</v>
      </c>
      <c r="N50">
        <v>9</v>
      </c>
      <c r="O50" t="s">
        <v>117</v>
      </c>
      <c r="P50" s="11">
        <v>5900</v>
      </c>
      <c r="Q50" t="s">
        <v>218</v>
      </c>
      <c r="R50" s="11">
        <f t="shared" si="0"/>
        <v>5900</v>
      </c>
      <c r="S50" t="str">
        <f t="shared" si="1"/>
        <v>One-Time</v>
      </c>
    </row>
    <row r="51" spans="1:19" ht="15" customHeight="1" x14ac:dyDescent="0.3">
      <c r="A51">
        <v>50</v>
      </c>
      <c r="B51" t="s">
        <v>219</v>
      </c>
      <c r="C51">
        <v>2709798</v>
      </c>
      <c r="D51" t="s">
        <v>114</v>
      </c>
      <c r="E51">
        <v>35</v>
      </c>
      <c r="F51" t="s">
        <v>76</v>
      </c>
      <c r="G51" s="10">
        <v>45326</v>
      </c>
      <c r="H51" t="s">
        <v>38</v>
      </c>
      <c r="I51" t="s">
        <v>82</v>
      </c>
      <c r="J51" t="s">
        <v>50</v>
      </c>
      <c r="K51" t="s">
        <v>168</v>
      </c>
      <c r="L51" t="s">
        <v>57</v>
      </c>
      <c r="M51" t="s">
        <v>116</v>
      </c>
      <c r="N51">
        <v>27</v>
      </c>
      <c r="O51" t="s">
        <v>117</v>
      </c>
      <c r="P51" s="11">
        <v>5900</v>
      </c>
      <c r="Q51" t="s">
        <v>220</v>
      </c>
      <c r="R51" s="11">
        <f t="shared" si="0"/>
        <v>5900</v>
      </c>
      <c r="S51" t="str">
        <f t="shared" si="1"/>
        <v>One-Time</v>
      </c>
    </row>
    <row r="52" spans="1:19" ht="15" customHeight="1" x14ac:dyDescent="0.3">
      <c r="A52">
        <v>51</v>
      </c>
      <c r="B52" t="s">
        <v>221</v>
      </c>
      <c r="C52">
        <v>4213846</v>
      </c>
      <c r="D52" t="s">
        <v>114</v>
      </c>
      <c r="E52">
        <v>27</v>
      </c>
      <c r="F52" t="s">
        <v>75</v>
      </c>
      <c r="G52" s="10">
        <v>45326</v>
      </c>
      <c r="H52" t="s">
        <v>38</v>
      </c>
      <c r="I52" t="s">
        <v>82</v>
      </c>
      <c r="J52" t="s">
        <v>50</v>
      </c>
      <c r="K52" t="s">
        <v>168</v>
      </c>
      <c r="L52" t="s">
        <v>57</v>
      </c>
      <c r="M52" t="s">
        <v>116</v>
      </c>
      <c r="N52">
        <v>6</v>
      </c>
      <c r="O52" t="s">
        <v>117</v>
      </c>
      <c r="P52" s="11">
        <v>5900</v>
      </c>
      <c r="Q52" t="s">
        <v>63</v>
      </c>
      <c r="R52" s="11">
        <f t="shared" si="0"/>
        <v>5900</v>
      </c>
      <c r="S52" t="str">
        <f t="shared" si="1"/>
        <v>One-Time</v>
      </c>
    </row>
    <row r="53" spans="1:19" ht="15" customHeight="1" x14ac:dyDescent="0.3">
      <c r="A53">
        <v>52</v>
      </c>
      <c r="B53" t="s">
        <v>222</v>
      </c>
      <c r="C53">
        <v>7381557</v>
      </c>
      <c r="D53" t="s">
        <v>114</v>
      </c>
      <c r="E53">
        <v>21</v>
      </c>
      <c r="F53" t="s">
        <v>75</v>
      </c>
      <c r="G53" s="10">
        <v>45366</v>
      </c>
      <c r="H53" t="s">
        <v>39</v>
      </c>
      <c r="I53" t="s">
        <v>82</v>
      </c>
      <c r="J53" t="s">
        <v>50</v>
      </c>
      <c r="K53" t="s">
        <v>168</v>
      </c>
      <c r="L53" t="s">
        <v>57</v>
      </c>
      <c r="M53" t="s">
        <v>116</v>
      </c>
      <c r="N53">
        <v>6</v>
      </c>
      <c r="O53" t="s">
        <v>117</v>
      </c>
      <c r="P53" s="11">
        <v>5900</v>
      </c>
      <c r="Q53" t="s">
        <v>223</v>
      </c>
      <c r="R53" s="11">
        <f t="shared" si="0"/>
        <v>5900</v>
      </c>
      <c r="S53" t="str">
        <f t="shared" si="1"/>
        <v>One-Time</v>
      </c>
    </row>
    <row r="54" spans="1:19" ht="15" customHeight="1" x14ac:dyDescent="0.3">
      <c r="A54">
        <v>53</v>
      </c>
      <c r="B54" t="s">
        <v>224</v>
      </c>
      <c r="C54">
        <v>817885</v>
      </c>
      <c r="D54" t="s">
        <v>114</v>
      </c>
      <c r="E54">
        <v>43</v>
      </c>
      <c r="F54" t="s">
        <v>76</v>
      </c>
      <c r="G54" s="10">
        <v>45367</v>
      </c>
      <c r="H54" t="s">
        <v>39</v>
      </c>
      <c r="I54" t="s">
        <v>82</v>
      </c>
      <c r="J54" t="s">
        <v>50</v>
      </c>
      <c r="K54" t="s">
        <v>168</v>
      </c>
      <c r="L54" t="s">
        <v>57</v>
      </c>
      <c r="M54" t="s">
        <v>116</v>
      </c>
      <c r="N54">
        <v>2</v>
      </c>
      <c r="O54" t="s">
        <v>117</v>
      </c>
      <c r="P54" s="11">
        <v>5900</v>
      </c>
      <c r="Q54" t="s">
        <v>225</v>
      </c>
      <c r="R54" s="11">
        <f t="shared" si="0"/>
        <v>5900</v>
      </c>
      <c r="S54" t="str">
        <f t="shared" si="1"/>
        <v>One-Time</v>
      </c>
    </row>
    <row r="55" spans="1:19" ht="15" customHeight="1" x14ac:dyDescent="0.3">
      <c r="A55">
        <v>54</v>
      </c>
      <c r="B55" t="s">
        <v>226</v>
      </c>
      <c r="C55">
        <v>2439278</v>
      </c>
      <c r="D55" t="s">
        <v>114</v>
      </c>
      <c r="E55">
        <v>39</v>
      </c>
      <c r="F55" t="s">
        <v>76</v>
      </c>
      <c r="G55" s="10">
        <v>45368</v>
      </c>
      <c r="H55" t="s">
        <v>39</v>
      </c>
      <c r="I55" t="s">
        <v>82</v>
      </c>
      <c r="J55" t="s">
        <v>50</v>
      </c>
      <c r="K55" t="s">
        <v>168</v>
      </c>
      <c r="L55" t="s">
        <v>57</v>
      </c>
      <c r="M55" t="s">
        <v>116</v>
      </c>
      <c r="N55">
        <v>32</v>
      </c>
      <c r="O55" t="s">
        <v>117</v>
      </c>
      <c r="P55" s="11">
        <v>5900</v>
      </c>
      <c r="Q55" t="s">
        <v>227</v>
      </c>
      <c r="R55" s="11">
        <f t="shared" si="0"/>
        <v>5900</v>
      </c>
      <c r="S55" t="str">
        <f t="shared" si="1"/>
        <v>One-Time</v>
      </c>
    </row>
    <row r="56" spans="1:19" ht="15" customHeight="1" x14ac:dyDescent="0.3">
      <c r="A56">
        <v>55</v>
      </c>
      <c r="B56" t="s">
        <v>228</v>
      </c>
      <c r="C56">
        <v>8874360</v>
      </c>
      <c r="D56" t="s">
        <v>114</v>
      </c>
      <c r="E56">
        <v>23</v>
      </c>
      <c r="F56" t="s">
        <v>75</v>
      </c>
      <c r="G56" s="10">
        <v>45369</v>
      </c>
      <c r="H56" t="s">
        <v>39</v>
      </c>
      <c r="I56" t="s">
        <v>82</v>
      </c>
      <c r="J56" t="s">
        <v>50</v>
      </c>
      <c r="K56" t="s">
        <v>168</v>
      </c>
      <c r="L56" t="s">
        <v>57</v>
      </c>
      <c r="M56" t="s">
        <v>122</v>
      </c>
      <c r="N56">
        <v>3</v>
      </c>
      <c r="O56" t="s">
        <v>117</v>
      </c>
      <c r="P56" s="11">
        <v>5900</v>
      </c>
      <c r="Q56" t="s">
        <v>64</v>
      </c>
      <c r="R56" s="11">
        <f t="shared" si="0"/>
        <v>5900</v>
      </c>
      <c r="S56" t="str">
        <f t="shared" si="1"/>
        <v>One-Time</v>
      </c>
    </row>
    <row r="57" spans="1:19" ht="15" customHeight="1" x14ac:dyDescent="0.3">
      <c r="A57">
        <v>56</v>
      </c>
      <c r="B57" t="s">
        <v>229</v>
      </c>
      <c r="C57">
        <v>4675134</v>
      </c>
      <c r="D57" t="s">
        <v>114</v>
      </c>
      <c r="E57">
        <v>58</v>
      </c>
      <c r="F57" t="s">
        <v>77</v>
      </c>
      <c r="G57" s="10">
        <v>45370</v>
      </c>
      <c r="H57" t="s">
        <v>39</v>
      </c>
      <c r="I57" t="s">
        <v>82</v>
      </c>
      <c r="J57" t="s">
        <v>50</v>
      </c>
      <c r="K57" t="s">
        <v>168</v>
      </c>
      <c r="L57" t="s">
        <v>57</v>
      </c>
      <c r="M57" t="s">
        <v>122</v>
      </c>
      <c r="N57">
        <v>48</v>
      </c>
      <c r="O57" t="s">
        <v>117</v>
      </c>
      <c r="P57" s="11">
        <v>5900</v>
      </c>
      <c r="Q57" t="s">
        <v>63</v>
      </c>
      <c r="R57" s="11">
        <f t="shared" si="0"/>
        <v>5900</v>
      </c>
      <c r="S57" t="str">
        <f t="shared" si="1"/>
        <v>One-Time</v>
      </c>
    </row>
    <row r="58" spans="1:19" ht="15" customHeight="1" x14ac:dyDescent="0.3">
      <c r="A58">
        <v>57</v>
      </c>
      <c r="B58" t="s">
        <v>230</v>
      </c>
      <c r="C58">
        <v>9907523</v>
      </c>
      <c r="D58" t="s">
        <v>114</v>
      </c>
      <c r="E58">
        <v>27</v>
      </c>
      <c r="F58" t="s">
        <v>75</v>
      </c>
      <c r="G58" s="10">
        <v>45371</v>
      </c>
      <c r="H58" t="s">
        <v>39</v>
      </c>
      <c r="I58" t="s">
        <v>82</v>
      </c>
      <c r="J58" t="s">
        <v>50</v>
      </c>
      <c r="K58" t="s">
        <v>173</v>
      </c>
      <c r="L58" t="s">
        <v>57</v>
      </c>
      <c r="M58" t="s">
        <v>122</v>
      </c>
      <c r="N58">
        <v>5</v>
      </c>
      <c r="O58" t="s">
        <v>117</v>
      </c>
      <c r="P58" s="11">
        <v>5900</v>
      </c>
      <c r="Q58" t="s">
        <v>231</v>
      </c>
      <c r="R58" s="11">
        <f t="shared" si="0"/>
        <v>5900</v>
      </c>
      <c r="S58" t="str">
        <f t="shared" si="1"/>
        <v>Repeat</v>
      </c>
    </row>
    <row r="59" spans="1:19" ht="15" customHeight="1" x14ac:dyDescent="0.3">
      <c r="A59">
        <v>58</v>
      </c>
      <c r="B59" t="s">
        <v>230</v>
      </c>
      <c r="C59">
        <v>9907523</v>
      </c>
      <c r="D59" t="s">
        <v>114</v>
      </c>
      <c r="E59">
        <v>38</v>
      </c>
      <c r="F59" t="s">
        <v>76</v>
      </c>
      <c r="G59" s="10">
        <v>45372</v>
      </c>
      <c r="H59" t="s">
        <v>39</v>
      </c>
      <c r="I59" t="s">
        <v>82</v>
      </c>
      <c r="J59" t="s">
        <v>50</v>
      </c>
      <c r="K59" t="s">
        <v>125</v>
      </c>
      <c r="L59" t="s">
        <v>57</v>
      </c>
      <c r="M59" t="s">
        <v>122</v>
      </c>
      <c r="N59">
        <v>2</v>
      </c>
      <c r="O59" t="s">
        <v>117</v>
      </c>
      <c r="P59" s="11">
        <v>5900</v>
      </c>
      <c r="Q59" t="s">
        <v>232</v>
      </c>
      <c r="R59" s="11">
        <f t="shared" si="0"/>
        <v>5900</v>
      </c>
      <c r="S59" t="str">
        <f t="shared" si="1"/>
        <v>Repeat</v>
      </c>
    </row>
    <row r="60" spans="1:19" ht="15" customHeight="1" x14ac:dyDescent="0.3">
      <c r="A60">
        <v>59</v>
      </c>
      <c r="B60" t="s">
        <v>233</v>
      </c>
      <c r="C60">
        <v>7643005</v>
      </c>
      <c r="D60" t="s">
        <v>114</v>
      </c>
      <c r="E60">
        <v>75</v>
      </c>
      <c r="F60" t="s">
        <v>77</v>
      </c>
      <c r="G60" s="10">
        <v>45373</v>
      </c>
      <c r="H60" t="s">
        <v>39</v>
      </c>
      <c r="I60" t="s">
        <v>82</v>
      </c>
      <c r="J60" t="s">
        <v>50</v>
      </c>
      <c r="K60" t="s">
        <v>125</v>
      </c>
      <c r="L60" t="s">
        <v>57</v>
      </c>
      <c r="M60" t="s">
        <v>122</v>
      </c>
      <c r="N60">
        <v>9</v>
      </c>
      <c r="O60" t="s">
        <v>117</v>
      </c>
      <c r="P60" s="11">
        <v>5900</v>
      </c>
      <c r="Q60" t="s">
        <v>66</v>
      </c>
      <c r="R60" s="11">
        <f t="shared" si="0"/>
        <v>5900</v>
      </c>
      <c r="S60" t="str">
        <f t="shared" si="1"/>
        <v>One-Time</v>
      </c>
    </row>
    <row r="61" spans="1:19" ht="15" customHeight="1" x14ac:dyDescent="0.3">
      <c r="A61">
        <v>60</v>
      </c>
      <c r="B61" t="s">
        <v>234</v>
      </c>
      <c r="C61">
        <v>381223</v>
      </c>
      <c r="D61" t="s">
        <v>114</v>
      </c>
      <c r="E61">
        <v>47</v>
      </c>
      <c r="F61" t="s">
        <v>76</v>
      </c>
      <c r="G61" s="10">
        <v>45374</v>
      </c>
      <c r="H61" t="s">
        <v>39</v>
      </c>
      <c r="I61" t="s">
        <v>82</v>
      </c>
      <c r="J61" t="s">
        <v>50</v>
      </c>
      <c r="K61" t="s">
        <v>125</v>
      </c>
      <c r="L61" t="s">
        <v>57</v>
      </c>
      <c r="M61" t="s">
        <v>122</v>
      </c>
      <c r="N61">
        <v>7</v>
      </c>
      <c r="O61" t="s">
        <v>117</v>
      </c>
      <c r="P61" s="11">
        <v>5900</v>
      </c>
      <c r="Q61" t="s">
        <v>65</v>
      </c>
      <c r="R61" s="11">
        <f t="shared" si="0"/>
        <v>5900</v>
      </c>
      <c r="S61" t="str">
        <f t="shared" si="1"/>
        <v>One-Time</v>
      </c>
    </row>
    <row r="62" spans="1:19" ht="15" customHeight="1" x14ac:dyDescent="0.3">
      <c r="A62">
        <v>61</v>
      </c>
      <c r="B62" t="s">
        <v>235</v>
      </c>
      <c r="C62">
        <v>8538186</v>
      </c>
      <c r="D62" t="s">
        <v>114</v>
      </c>
      <c r="E62">
        <v>62</v>
      </c>
      <c r="F62" t="s">
        <v>77</v>
      </c>
      <c r="G62" s="10">
        <v>45375</v>
      </c>
      <c r="H62" t="s">
        <v>39</v>
      </c>
      <c r="I62" t="s">
        <v>82</v>
      </c>
      <c r="J62" t="s">
        <v>50</v>
      </c>
      <c r="K62" t="s">
        <v>125</v>
      </c>
      <c r="L62" t="s">
        <v>57</v>
      </c>
      <c r="M62" t="s">
        <v>122</v>
      </c>
      <c r="N62">
        <v>2</v>
      </c>
      <c r="O62" t="s">
        <v>117</v>
      </c>
      <c r="P62" s="11">
        <v>5900</v>
      </c>
      <c r="Q62" t="s">
        <v>236</v>
      </c>
      <c r="R62" s="11">
        <f t="shared" si="0"/>
        <v>5900</v>
      </c>
      <c r="S62" t="str">
        <f t="shared" si="1"/>
        <v>One-Time</v>
      </c>
    </row>
    <row r="63" spans="1:19" ht="15" customHeight="1" x14ac:dyDescent="0.3">
      <c r="A63">
        <v>62</v>
      </c>
      <c r="B63" t="s">
        <v>237</v>
      </c>
      <c r="C63">
        <v>1785530</v>
      </c>
      <c r="D63" t="s">
        <v>114</v>
      </c>
      <c r="E63">
        <v>42</v>
      </c>
      <c r="F63" t="s">
        <v>76</v>
      </c>
      <c r="G63" s="10">
        <v>45376</v>
      </c>
      <c r="H63" t="s">
        <v>39</v>
      </c>
      <c r="I63" t="s">
        <v>82</v>
      </c>
      <c r="J63" t="s">
        <v>50</v>
      </c>
      <c r="K63" t="s">
        <v>125</v>
      </c>
      <c r="L63" t="s">
        <v>57</v>
      </c>
      <c r="M63" t="s">
        <v>122</v>
      </c>
      <c r="N63">
        <v>8</v>
      </c>
      <c r="O63" t="s">
        <v>117</v>
      </c>
      <c r="P63" s="11">
        <v>5900</v>
      </c>
      <c r="Q63" t="s">
        <v>62</v>
      </c>
      <c r="R63" s="11">
        <f t="shared" si="0"/>
        <v>5900</v>
      </c>
      <c r="S63" t="str">
        <f t="shared" si="1"/>
        <v>One-Time</v>
      </c>
    </row>
    <row r="64" spans="1:19" ht="15" customHeight="1" x14ac:dyDescent="0.3">
      <c r="A64">
        <v>63</v>
      </c>
      <c r="B64" t="s">
        <v>238</v>
      </c>
      <c r="C64">
        <v>824767</v>
      </c>
      <c r="D64" t="s">
        <v>114</v>
      </c>
      <c r="E64">
        <v>34</v>
      </c>
      <c r="F64" t="s">
        <v>76</v>
      </c>
      <c r="G64" s="10">
        <v>45377</v>
      </c>
      <c r="H64" t="s">
        <v>39</v>
      </c>
      <c r="I64" t="s">
        <v>82</v>
      </c>
      <c r="J64" t="s">
        <v>50</v>
      </c>
      <c r="K64" t="s">
        <v>125</v>
      </c>
      <c r="L64" t="s">
        <v>57</v>
      </c>
      <c r="M64" t="s">
        <v>122</v>
      </c>
      <c r="N64">
        <v>4</v>
      </c>
      <c r="O64" t="s">
        <v>117</v>
      </c>
      <c r="P64" s="11">
        <v>5900</v>
      </c>
      <c r="Q64" t="s">
        <v>65</v>
      </c>
      <c r="R64" s="11">
        <f t="shared" si="0"/>
        <v>5900</v>
      </c>
      <c r="S64" t="str">
        <f t="shared" si="1"/>
        <v>One-Time</v>
      </c>
    </row>
    <row r="65" spans="1:19" ht="15" customHeight="1" x14ac:dyDescent="0.3">
      <c r="A65">
        <v>64</v>
      </c>
      <c r="B65" t="s">
        <v>239</v>
      </c>
      <c r="C65">
        <v>8169153</v>
      </c>
      <c r="D65" t="s">
        <v>114</v>
      </c>
      <c r="E65">
        <v>20</v>
      </c>
      <c r="F65" t="s">
        <v>75</v>
      </c>
      <c r="G65" s="10">
        <v>45378</v>
      </c>
      <c r="H65" t="s">
        <v>39</v>
      </c>
      <c r="I65" t="s">
        <v>82</v>
      </c>
      <c r="J65" t="s">
        <v>50</v>
      </c>
      <c r="K65" t="s">
        <v>125</v>
      </c>
      <c r="L65" t="s">
        <v>57</v>
      </c>
      <c r="M65" t="s">
        <v>122</v>
      </c>
      <c r="N65">
        <v>5</v>
      </c>
      <c r="O65" t="s">
        <v>117</v>
      </c>
      <c r="P65" s="11">
        <v>5900</v>
      </c>
      <c r="Q65" t="s">
        <v>62</v>
      </c>
      <c r="R65" s="11">
        <f t="shared" si="0"/>
        <v>5900</v>
      </c>
      <c r="S65" t="str">
        <f t="shared" si="1"/>
        <v>One-Time</v>
      </c>
    </row>
    <row r="66" spans="1:19" ht="15" customHeight="1" x14ac:dyDescent="0.3">
      <c r="A66">
        <v>65</v>
      </c>
      <c r="B66" t="s">
        <v>240</v>
      </c>
      <c r="C66">
        <v>5169174</v>
      </c>
      <c r="D66" t="s">
        <v>114</v>
      </c>
      <c r="E66">
        <v>44</v>
      </c>
      <c r="F66" t="s">
        <v>76</v>
      </c>
      <c r="G66" s="10">
        <v>45379</v>
      </c>
      <c r="H66" t="s">
        <v>39</v>
      </c>
      <c r="I66" t="s">
        <v>83</v>
      </c>
      <c r="J66" t="s">
        <v>50</v>
      </c>
      <c r="K66" t="s">
        <v>125</v>
      </c>
      <c r="L66" t="s">
        <v>57</v>
      </c>
      <c r="M66" t="s">
        <v>122</v>
      </c>
      <c r="N66">
        <v>6</v>
      </c>
      <c r="O66" t="s">
        <v>117</v>
      </c>
      <c r="P66" s="11">
        <v>5900</v>
      </c>
      <c r="Q66" t="s">
        <v>241</v>
      </c>
      <c r="R66" s="11">
        <f t="shared" ref="R66:R129" si="2">IF(I66="Delivered",P66,0)</f>
        <v>0</v>
      </c>
      <c r="S66" t="str">
        <f t="shared" ref="S66:S129" si="3">IF(COUNTIF($C$2:$C$1501,C66)&gt;1,"Repeat","One-Time")</f>
        <v>One-Time</v>
      </c>
    </row>
    <row r="67" spans="1:19" ht="15" customHeight="1" x14ac:dyDescent="0.3">
      <c r="A67">
        <v>66</v>
      </c>
      <c r="B67" t="s">
        <v>242</v>
      </c>
      <c r="C67">
        <v>2130722</v>
      </c>
      <c r="D67" t="s">
        <v>114</v>
      </c>
      <c r="E67">
        <v>24</v>
      </c>
      <c r="F67" t="s">
        <v>75</v>
      </c>
      <c r="G67" s="10">
        <v>45380</v>
      </c>
      <c r="H67" t="s">
        <v>39</v>
      </c>
      <c r="I67" t="s">
        <v>82</v>
      </c>
      <c r="J67" t="s">
        <v>50</v>
      </c>
      <c r="K67" t="s">
        <v>125</v>
      </c>
      <c r="L67" t="s">
        <v>57</v>
      </c>
      <c r="M67" t="s">
        <v>122</v>
      </c>
      <c r="N67">
        <v>31</v>
      </c>
      <c r="O67" t="s">
        <v>117</v>
      </c>
      <c r="P67" s="11">
        <v>5900</v>
      </c>
      <c r="Q67" t="s">
        <v>191</v>
      </c>
      <c r="R67" s="11">
        <f t="shared" si="2"/>
        <v>5900</v>
      </c>
      <c r="S67" t="str">
        <f t="shared" si="3"/>
        <v>One-Time</v>
      </c>
    </row>
    <row r="68" spans="1:19" ht="15" customHeight="1" x14ac:dyDescent="0.3">
      <c r="A68">
        <v>67</v>
      </c>
      <c r="B68" t="s">
        <v>243</v>
      </c>
      <c r="C68">
        <v>8399604</v>
      </c>
      <c r="D68" t="s">
        <v>114</v>
      </c>
      <c r="E68">
        <v>31</v>
      </c>
      <c r="F68" t="s">
        <v>76</v>
      </c>
      <c r="G68" s="10">
        <v>45381</v>
      </c>
      <c r="H68" t="s">
        <v>39</v>
      </c>
      <c r="I68" t="s">
        <v>82</v>
      </c>
      <c r="J68" t="s">
        <v>50</v>
      </c>
      <c r="K68" t="s">
        <v>125</v>
      </c>
      <c r="L68" t="s">
        <v>57</v>
      </c>
      <c r="M68" t="s">
        <v>122</v>
      </c>
      <c r="N68">
        <v>2</v>
      </c>
      <c r="O68" t="s">
        <v>117</v>
      </c>
      <c r="P68" s="11">
        <v>5900</v>
      </c>
      <c r="Q68" t="s">
        <v>67</v>
      </c>
      <c r="R68" s="11">
        <f t="shared" si="2"/>
        <v>5900</v>
      </c>
      <c r="S68" t="str">
        <f t="shared" si="3"/>
        <v>One-Time</v>
      </c>
    </row>
    <row r="69" spans="1:19" ht="15" customHeight="1" x14ac:dyDescent="0.3">
      <c r="A69">
        <v>68</v>
      </c>
      <c r="B69" t="s">
        <v>244</v>
      </c>
      <c r="C69">
        <v>8213196</v>
      </c>
      <c r="D69" t="s">
        <v>114</v>
      </c>
      <c r="E69">
        <v>75</v>
      </c>
      <c r="F69" t="s">
        <v>77</v>
      </c>
      <c r="G69" s="10">
        <v>45382</v>
      </c>
      <c r="H69" t="s">
        <v>39</v>
      </c>
      <c r="I69" t="s">
        <v>82</v>
      </c>
      <c r="J69" t="s">
        <v>48</v>
      </c>
      <c r="K69" t="s">
        <v>125</v>
      </c>
      <c r="L69" t="s">
        <v>57</v>
      </c>
      <c r="M69" t="s">
        <v>122</v>
      </c>
      <c r="N69">
        <v>5</v>
      </c>
      <c r="O69" t="s">
        <v>117</v>
      </c>
      <c r="P69" s="11">
        <v>5900</v>
      </c>
      <c r="Q69" t="s">
        <v>245</v>
      </c>
      <c r="R69" s="11">
        <f t="shared" si="2"/>
        <v>5900</v>
      </c>
      <c r="S69" t="str">
        <f t="shared" si="3"/>
        <v>One-Time</v>
      </c>
    </row>
    <row r="70" spans="1:19" ht="15" customHeight="1" x14ac:dyDescent="0.3">
      <c r="A70">
        <v>69</v>
      </c>
      <c r="B70" t="s">
        <v>246</v>
      </c>
      <c r="C70">
        <v>3286680</v>
      </c>
      <c r="D70" t="s">
        <v>114</v>
      </c>
      <c r="E70">
        <v>46</v>
      </c>
      <c r="F70" t="s">
        <v>76</v>
      </c>
      <c r="G70" s="10">
        <v>45383</v>
      </c>
      <c r="H70" t="s">
        <v>40</v>
      </c>
      <c r="I70" t="s">
        <v>82</v>
      </c>
      <c r="J70" t="s">
        <v>48</v>
      </c>
      <c r="K70" t="s">
        <v>125</v>
      </c>
      <c r="L70" t="s">
        <v>57</v>
      </c>
      <c r="M70" t="s">
        <v>122</v>
      </c>
      <c r="N70">
        <v>5</v>
      </c>
      <c r="O70" t="s">
        <v>117</v>
      </c>
      <c r="P70" s="11">
        <v>5900</v>
      </c>
      <c r="Q70" t="s">
        <v>247</v>
      </c>
      <c r="R70" s="11">
        <f t="shared" si="2"/>
        <v>5900</v>
      </c>
      <c r="S70" t="str">
        <f t="shared" si="3"/>
        <v>One-Time</v>
      </c>
    </row>
    <row r="71" spans="1:19" ht="15" customHeight="1" x14ac:dyDescent="0.3">
      <c r="A71">
        <v>70</v>
      </c>
      <c r="B71" t="s">
        <v>248</v>
      </c>
      <c r="C71">
        <v>6014983</v>
      </c>
      <c r="D71" t="s">
        <v>114</v>
      </c>
      <c r="E71">
        <v>48</v>
      </c>
      <c r="F71" t="s">
        <v>76</v>
      </c>
      <c r="G71" s="10">
        <v>45384</v>
      </c>
      <c r="H71" t="s">
        <v>40</v>
      </c>
      <c r="I71" t="s">
        <v>82</v>
      </c>
      <c r="J71" t="s">
        <v>48</v>
      </c>
      <c r="K71" t="s">
        <v>125</v>
      </c>
      <c r="L71" t="s">
        <v>57</v>
      </c>
      <c r="M71" t="s">
        <v>122</v>
      </c>
      <c r="N71">
        <v>8</v>
      </c>
      <c r="O71" t="s">
        <v>117</v>
      </c>
      <c r="P71" s="11">
        <v>5900</v>
      </c>
      <c r="Q71" t="s">
        <v>68</v>
      </c>
      <c r="R71" s="11">
        <f t="shared" si="2"/>
        <v>5900</v>
      </c>
      <c r="S71" t="str">
        <f t="shared" si="3"/>
        <v>One-Time</v>
      </c>
    </row>
    <row r="72" spans="1:19" ht="15" customHeight="1" x14ac:dyDescent="0.3">
      <c r="A72">
        <v>71</v>
      </c>
      <c r="B72" t="s">
        <v>249</v>
      </c>
      <c r="C72">
        <v>6950860</v>
      </c>
      <c r="D72" t="s">
        <v>114</v>
      </c>
      <c r="E72">
        <v>26</v>
      </c>
      <c r="F72" t="s">
        <v>75</v>
      </c>
      <c r="G72" s="10">
        <v>45385</v>
      </c>
      <c r="H72" t="s">
        <v>40</v>
      </c>
      <c r="I72" t="s">
        <v>82</v>
      </c>
      <c r="J72" t="s">
        <v>48</v>
      </c>
      <c r="K72" t="s">
        <v>125</v>
      </c>
      <c r="L72" t="s">
        <v>57</v>
      </c>
      <c r="M72" t="s">
        <v>122</v>
      </c>
      <c r="N72">
        <v>9</v>
      </c>
      <c r="O72" t="s">
        <v>117</v>
      </c>
      <c r="P72" s="11">
        <v>5900</v>
      </c>
      <c r="Q72" t="s">
        <v>250</v>
      </c>
      <c r="R72" s="11">
        <f t="shared" si="2"/>
        <v>5900</v>
      </c>
      <c r="S72" t="str">
        <f t="shared" si="3"/>
        <v>One-Time</v>
      </c>
    </row>
    <row r="73" spans="1:19" ht="15" customHeight="1" x14ac:dyDescent="0.3">
      <c r="A73">
        <v>72</v>
      </c>
      <c r="B73" t="s">
        <v>251</v>
      </c>
      <c r="C73">
        <v>7030051</v>
      </c>
      <c r="D73" t="s">
        <v>114</v>
      </c>
      <c r="E73">
        <v>36</v>
      </c>
      <c r="F73" t="s">
        <v>76</v>
      </c>
      <c r="G73" s="10">
        <v>45386</v>
      </c>
      <c r="H73" t="s">
        <v>40</v>
      </c>
      <c r="I73" t="s">
        <v>82</v>
      </c>
      <c r="J73" t="s">
        <v>48</v>
      </c>
      <c r="K73" t="s">
        <v>144</v>
      </c>
      <c r="L73" t="s">
        <v>57</v>
      </c>
      <c r="M73" t="s">
        <v>122</v>
      </c>
      <c r="N73">
        <v>4</v>
      </c>
      <c r="O73" t="s">
        <v>117</v>
      </c>
      <c r="P73" s="11">
        <v>5900</v>
      </c>
      <c r="Q73" t="s">
        <v>64</v>
      </c>
      <c r="R73" s="11">
        <f t="shared" si="2"/>
        <v>5900</v>
      </c>
      <c r="S73" t="str">
        <f t="shared" si="3"/>
        <v>One-Time</v>
      </c>
    </row>
    <row r="74" spans="1:19" ht="15" customHeight="1" x14ac:dyDescent="0.3">
      <c r="A74">
        <v>73</v>
      </c>
      <c r="B74" t="s">
        <v>252</v>
      </c>
      <c r="C74">
        <v>6041386</v>
      </c>
      <c r="D74" t="s">
        <v>114</v>
      </c>
      <c r="E74">
        <v>23</v>
      </c>
      <c r="F74" t="s">
        <v>75</v>
      </c>
      <c r="G74" s="10">
        <v>45387</v>
      </c>
      <c r="H74" t="s">
        <v>40</v>
      </c>
      <c r="I74" t="s">
        <v>82</v>
      </c>
      <c r="J74" t="s">
        <v>48</v>
      </c>
      <c r="K74" t="s">
        <v>144</v>
      </c>
      <c r="L74" t="s">
        <v>57</v>
      </c>
      <c r="M74" t="s">
        <v>122</v>
      </c>
      <c r="N74">
        <v>7</v>
      </c>
      <c r="O74" t="s">
        <v>117</v>
      </c>
      <c r="P74" s="11">
        <v>5900</v>
      </c>
      <c r="Q74" t="s">
        <v>241</v>
      </c>
      <c r="R74" s="11">
        <f t="shared" si="2"/>
        <v>5900</v>
      </c>
      <c r="S74" t="str">
        <f t="shared" si="3"/>
        <v>One-Time</v>
      </c>
    </row>
    <row r="75" spans="1:19" ht="15" customHeight="1" x14ac:dyDescent="0.3">
      <c r="A75">
        <v>74</v>
      </c>
      <c r="B75" t="s">
        <v>253</v>
      </c>
      <c r="C75">
        <v>7958450</v>
      </c>
      <c r="D75" t="s">
        <v>114</v>
      </c>
      <c r="E75">
        <v>32</v>
      </c>
      <c r="F75" t="s">
        <v>76</v>
      </c>
      <c r="G75" s="10">
        <v>45388</v>
      </c>
      <c r="H75" t="s">
        <v>40</v>
      </c>
      <c r="I75" t="s">
        <v>82</v>
      </c>
      <c r="J75" t="s">
        <v>48</v>
      </c>
      <c r="K75" t="s">
        <v>144</v>
      </c>
      <c r="L75" t="s">
        <v>57</v>
      </c>
      <c r="M75" t="s">
        <v>122</v>
      </c>
      <c r="N75">
        <v>8</v>
      </c>
      <c r="O75" t="s">
        <v>117</v>
      </c>
      <c r="P75" s="11">
        <v>5900</v>
      </c>
      <c r="Q75" t="s">
        <v>62</v>
      </c>
      <c r="R75" s="11">
        <f t="shared" si="2"/>
        <v>5900</v>
      </c>
      <c r="S75" t="str">
        <f t="shared" si="3"/>
        <v>One-Time</v>
      </c>
    </row>
    <row r="76" spans="1:19" ht="15" customHeight="1" x14ac:dyDescent="0.3">
      <c r="A76">
        <v>75</v>
      </c>
      <c r="B76" t="s">
        <v>254</v>
      </c>
      <c r="C76">
        <v>7814128</v>
      </c>
      <c r="D76" t="s">
        <v>114</v>
      </c>
      <c r="E76">
        <v>26</v>
      </c>
      <c r="F76" t="s">
        <v>75</v>
      </c>
      <c r="G76" s="10">
        <v>45389</v>
      </c>
      <c r="H76" t="s">
        <v>40</v>
      </c>
      <c r="I76" t="s">
        <v>82</v>
      </c>
      <c r="J76" t="s">
        <v>48</v>
      </c>
      <c r="K76" t="s">
        <v>144</v>
      </c>
      <c r="L76" t="s">
        <v>57</v>
      </c>
      <c r="M76" t="s">
        <v>122</v>
      </c>
      <c r="N76">
        <v>32</v>
      </c>
      <c r="O76" t="s">
        <v>117</v>
      </c>
      <c r="P76" s="11">
        <v>5900</v>
      </c>
      <c r="Q76" t="s">
        <v>70</v>
      </c>
      <c r="R76" s="11">
        <f t="shared" si="2"/>
        <v>5900</v>
      </c>
      <c r="S76" t="str">
        <f t="shared" si="3"/>
        <v>One-Time</v>
      </c>
    </row>
    <row r="77" spans="1:19" ht="15" customHeight="1" x14ac:dyDescent="0.3">
      <c r="A77">
        <v>76</v>
      </c>
      <c r="B77" t="s">
        <v>255</v>
      </c>
      <c r="C77">
        <v>9793483</v>
      </c>
      <c r="D77" t="s">
        <v>114</v>
      </c>
      <c r="E77">
        <v>45</v>
      </c>
      <c r="F77" t="s">
        <v>76</v>
      </c>
      <c r="G77" s="10">
        <v>45390</v>
      </c>
      <c r="H77" t="s">
        <v>40</v>
      </c>
      <c r="I77" t="s">
        <v>82</v>
      </c>
      <c r="J77" t="s">
        <v>48</v>
      </c>
      <c r="K77" t="s">
        <v>144</v>
      </c>
      <c r="L77" t="s">
        <v>57</v>
      </c>
      <c r="M77" t="s">
        <v>122</v>
      </c>
      <c r="N77">
        <v>3</v>
      </c>
      <c r="O77" t="s">
        <v>117</v>
      </c>
      <c r="P77" s="11">
        <v>5900</v>
      </c>
      <c r="Q77" t="s">
        <v>62</v>
      </c>
      <c r="R77" s="11">
        <f t="shared" si="2"/>
        <v>5900</v>
      </c>
      <c r="S77" t="str">
        <f t="shared" si="3"/>
        <v>One-Time</v>
      </c>
    </row>
    <row r="78" spans="1:19" ht="15" customHeight="1" x14ac:dyDescent="0.3">
      <c r="A78">
        <v>77</v>
      </c>
      <c r="B78" t="s">
        <v>256</v>
      </c>
      <c r="C78">
        <v>5297818</v>
      </c>
      <c r="D78" t="s">
        <v>114</v>
      </c>
      <c r="E78">
        <v>49</v>
      </c>
      <c r="F78" t="s">
        <v>76</v>
      </c>
      <c r="G78" s="10">
        <v>45391</v>
      </c>
      <c r="H78" t="s">
        <v>40</v>
      </c>
      <c r="I78" t="s">
        <v>82</v>
      </c>
      <c r="J78" t="s">
        <v>48</v>
      </c>
      <c r="K78" t="s">
        <v>144</v>
      </c>
      <c r="L78" t="s">
        <v>57</v>
      </c>
      <c r="M78" t="s">
        <v>122</v>
      </c>
      <c r="N78">
        <v>48</v>
      </c>
      <c r="O78" t="s">
        <v>117</v>
      </c>
      <c r="P78" s="11">
        <v>5900</v>
      </c>
      <c r="Q78" t="s">
        <v>257</v>
      </c>
      <c r="R78" s="11">
        <f t="shared" si="2"/>
        <v>5900</v>
      </c>
      <c r="S78" t="str">
        <f t="shared" si="3"/>
        <v>One-Time</v>
      </c>
    </row>
    <row r="79" spans="1:19" ht="15" customHeight="1" x14ac:dyDescent="0.3">
      <c r="A79">
        <v>78</v>
      </c>
      <c r="B79" t="s">
        <v>258</v>
      </c>
      <c r="C79">
        <v>2070545</v>
      </c>
      <c r="D79" t="s">
        <v>114</v>
      </c>
      <c r="E79">
        <v>21</v>
      </c>
      <c r="F79" t="s">
        <v>75</v>
      </c>
      <c r="G79" s="10">
        <v>45392</v>
      </c>
      <c r="H79" t="s">
        <v>40</v>
      </c>
      <c r="I79" t="s">
        <v>82</v>
      </c>
      <c r="J79" t="s">
        <v>48</v>
      </c>
      <c r="K79" t="s">
        <v>144</v>
      </c>
      <c r="L79" t="s">
        <v>57</v>
      </c>
      <c r="M79" t="s">
        <v>122</v>
      </c>
      <c r="N79">
        <v>5</v>
      </c>
      <c r="O79" t="s">
        <v>117</v>
      </c>
      <c r="P79" s="11">
        <v>5900</v>
      </c>
      <c r="Q79" t="s">
        <v>259</v>
      </c>
      <c r="R79" s="11">
        <f t="shared" si="2"/>
        <v>5900</v>
      </c>
      <c r="S79" t="str">
        <f t="shared" si="3"/>
        <v>One-Time</v>
      </c>
    </row>
    <row r="80" spans="1:19" ht="15" customHeight="1" x14ac:dyDescent="0.3">
      <c r="A80">
        <v>79</v>
      </c>
      <c r="B80" t="s">
        <v>260</v>
      </c>
      <c r="C80">
        <v>1756314</v>
      </c>
      <c r="D80" t="s">
        <v>114</v>
      </c>
      <c r="E80">
        <v>39</v>
      </c>
      <c r="F80" t="s">
        <v>76</v>
      </c>
      <c r="G80" s="10">
        <v>45393</v>
      </c>
      <c r="H80" t="s">
        <v>40</v>
      </c>
      <c r="I80" t="s">
        <v>82</v>
      </c>
      <c r="J80" t="s">
        <v>48</v>
      </c>
      <c r="K80" t="s">
        <v>132</v>
      </c>
      <c r="L80" t="s">
        <v>57</v>
      </c>
      <c r="M80" t="s">
        <v>122</v>
      </c>
      <c r="N80">
        <v>2</v>
      </c>
      <c r="O80" t="s">
        <v>117</v>
      </c>
      <c r="P80" s="11">
        <v>5900</v>
      </c>
      <c r="Q80" t="s">
        <v>71</v>
      </c>
      <c r="R80" s="11">
        <f t="shared" si="2"/>
        <v>5900</v>
      </c>
      <c r="S80" t="str">
        <f t="shared" si="3"/>
        <v>One-Time</v>
      </c>
    </row>
    <row r="81" spans="1:19" ht="15" customHeight="1" x14ac:dyDescent="0.3">
      <c r="A81">
        <v>80</v>
      </c>
      <c r="B81" t="s">
        <v>261</v>
      </c>
      <c r="C81">
        <v>8786932</v>
      </c>
      <c r="D81" t="s">
        <v>114</v>
      </c>
      <c r="E81">
        <v>55</v>
      </c>
      <c r="F81" t="s">
        <v>77</v>
      </c>
      <c r="G81" s="10">
        <v>45394</v>
      </c>
      <c r="H81" t="s">
        <v>40</v>
      </c>
      <c r="I81" t="s">
        <v>82</v>
      </c>
      <c r="J81" t="s">
        <v>48</v>
      </c>
      <c r="K81" t="s">
        <v>132</v>
      </c>
      <c r="L81" t="s">
        <v>57</v>
      </c>
      <c r="M81" t="s">
        <v>122</v>
      </c>
      <c r="N81">
        <v>9</v>
      </c>
      <c r="O81" t="s">
        <v>117</v>
      </c>
      <c r="P81" s="11">
        <v>5900</v>
      </c>
      <c r="Q81" t="s">
        <v>262</v>
      </c>
      <c r="R81" s="11">
        <f t="shared" si="2"/>
        <v>5900</v>
      </c>
      <c r="S81" t="str">
        <f t="shared" si="3"/>
        <v>One-Time</v>
      </c>
    </row>
    <row r="82" spans="1:19" ht="15" customHeight="1" x14ac:dyDescent="0.3">
      <c r="A82">
        <v>81</v>
      </c>
      <c r="B82" t="s">
        <v>263</v>
      </c>
      <c r="C82">
        <v>8573929</v>
      </c>
      <c r="D82" t="s">
        <v>114</v>
      </c>
      <c r="E82">
        <v>30</v>
      </c>
      <c r="F82" t="s">
        <v>76</v>
      </c>
      <c r="G82" s="10">
        <v>45395</v>
      </c>
      <c r="H82" t="s">
        <v>40</v>
      </c>
      <c r="I82" t="s">
        <v>82</v>
      </c>
      <c r="J82" t="s">
        <v>48</v>
      </c>
      <c r="K82" t="s">
        <v>132</v>
      </c>
      <c r="L82" t="s">
        <v>58</v>
      </c>
      <c r="M82" t="s">
        <v>122</v>
      </c>
      <c r="N82">
        <v>7</v>
      </c>
      <c r="O82" t="s">
        <v>117</v>
      </c>
      <c r="P82" s="11">
        <v>6600</v>
      </c>
      <c r="Q82" t="s">
        <v>66</v>
      </c>
      <c r="R82" s="11">
        <f t="shared" si="2"/>
        <v>6600</v>
      </c>
      <c r="S82" t="str">
        <f t="shared" si="3"/>
        <v>Repeat</v>
      </c>
    </row>
    <row r="83" spans="1:19" ht="15" customHeight="1" x14ac:dyDescent="0.3">
      <c r="A83">
        <v>82</v>
      </c>
      <c r="B83" t="s">
        <v>263</v>
      </c>
      <c r="C83">
        <v>8573929</v>
      </c>
      <c r="D83" t="s">
        <v>114</v>
      </c>
      <c r="E83">
        <v>46</v>
      </c>
      <c r="F83" t="s">
        <v>76</v>
      </c>
      <c r="G83" s="10">
        <v>45396</v>
      </c>
      <c r="H83" t="s">
        <v>40</v>
      </c>
      <c r="I83" t="s">
        <v>82</v>
      </c>
      <c r="J83" t="s">
        <v>48</v>
      </c>
      <c r="K83" t="s">
        <v>132</v>
      </c>
      <c r="L83" t="s">
        <v>58</v>
      </c>
      <c r="M83" t="s">
        <v>122</v>
      </c>
      <c r="N83">
        <v>2</v>
      </c>
      <c r="O83" t="s">
        <v>117</v>
      </c>
      <c r="P83" s="11">
        <v>6600</v>
      </c>
      <c r="Q83" t="s">
        <v>67</v>
      </c>
      <c r="R83" s="11">
        <f t="shared" si="2"/>
        <v>6600</v>
      </c>
      <c r="S83" t="str">
        <f t="shared" si="3"/>
        <v>Repeat</v>
      </c>
    </row>
    <row r="84" spans="1:19" ht="15" customHeight="1" x14ac:dyDescent="0.3">
      <c r="A84">
        <v>83</v>
      </c>
      <c r="B84" t="s">
        <v>264</v>
      </c>
      <c r="C84">
        <v>8980704</v>
      </c>
      <c r="D84" t="s">
        <v>114</v>
      </c>
      <c r="E84">
        <v>59</v>
      </c>
      <c r="F84" t="s">
        <v>77</v>
      </c>
      <c r="G84" s="10">
        <v>45397</v>
      </c>
      <c r="H84" t="s">
        <v>40</v>
      </c>
      <c r="I84" t="s">
        <v>83</v>
      </c>
      <c r="J84" t="s">
        <v>48</v>
      </c>
      <c r="K84" t="s">
        <v>132</v>
      </c>
      <c r="L84" t="s">
        <v>58</v>
      </c>
      <c r="M84" t="s">
        <v>122</v>
      </c>
      <c r="N84">
        <v>8</v>
      </c>
      <c r="O84" t="s">
        <v>117</v>
      </c>
      <c r="P84" s="11">
        <v>6600</v>
      </c>
      <c r="Q84" t="s">
        <v>265</v>
      </c>
      <c r="R84" s="11">
        <f t="shared" si="2"/>
        <v>0</v>
      </c>
      <c r="S84" t="str">
        <f t="shared" si="3"/>
        <v>One-Time</v>
      </c>
    </row>
    <row r="85" spans="1:19" ht="15" customHeight="1" x14ac:dyDescent="0.3">
      <c r="A85">
        <v>84</v>
      </c>
      <c r="B85" t="s">
        <v>266</v>
      </c>
      <c r="C85">
        <v>2516658</v>
      </c>
      <c r="D85" t="s">
        <v>114</v>
      </c>
      <c r="E85">
        <v>55</v>
      </c>
      <c r="F85" t="s">
        <v>77</v>
      </c>
      <c r="G85" s="10">
        <v>45398</v>
      </c>
      <c r="H85" t="s">
        <v>40</v>
      </c>
      <c r="I85" t="s">
        <v>82</v>
      </c>
      <c r="J85" t="s">
        <v>48</v>
      </c>
      <c r="K85" t="s">
        <v>132</v>
      </c>
      <c r="L85" t="s">
        <v>58</v>
      </c>
      <c r="M85" t="s">
        <v>122</v>
      </c>
      <c r="N85">
        <v>4</v>
      </c>
      <c r="O85" t="s">
        <v>117</v>
      </c>
      <c r="P85" s="11">
        <v>6600</v>
      </c>
      <c r="Q85" t="s">
        <v>65</v>
      </c>
      <c r="R85" s="11">
        <f t="shared" si="2"/>
        <v>6600</v>
      </c>
      <c r="S85" t="str">
        <f t="shared" si="3"/>
        <v>One-Time</v>
      </c>
    </row>
    <row r="86" spans="1:19" ht="15" customHeight="1" x14ac:dyDescent="0.3">
      <c r="A86">
        <v>85</v>
      </c>
      <c r="B86" t="s">
        <v>267</v>
      </c>
      <c r="C86">
        <v>105497</v>
      </c>
      <c r="D86" t="s">
        <v>114</v>
      </c>
      <c r="E86">
        <v>37</v>
      </c>
      <c r="F86" t="s">
        <v>76</v>
      </c>
      <c r="G86" s="10">
        <v>45399</v>
      </c>
      <c r="H86" t="s">
        <v>40</v>
      </c>
      <c r="I86" t="s">
        <v>84</v>
      </c>
      <c r="J86" t="s">
        <v>48</v>
      </c>
      <c r="K86" t="s">
        <v>132</v>
      </c>
      <c r="L86" t="s">
        <v>58</v>
      </c>
      <c r="M86" t="s">
        <v>122</v>
      </c>
      <c r="N86">
        <v>5</v>
      </c>
      <c r="O86" t="s">
        <v>117</v>
      </c>
      <c r="P86" s="11">
        <v>6600</v>
      </c>
      <c r="Q86" t="s">
        <v>268</v>
      </c>
      <c r="R86" s="11">
        <f t="shared" si="2"/>
        <v>0</v>
      </c>
      <c r="S86" t="str">
        <f t="shared" si="3"/>
        <v>One-Time</v>
      </c>
    </row>
    <row r="87" spans="1:19" ht="15" customHeight="1" x14ac:dyDescent="0.3">
      <c r="A87">
        <v>86</v>
      </c>
      <c r="B87" t="s">
        <v>269</v>
      </c>
      <c r="C87">
        <v>6468339</v>
      </c>
      <c r="D87" t="s">
        <v>114</v>
      </c>
      <c r="E87">
        <v>19</v>
      </c>
      <c r="F87" t="s">
        <v>75</v>
      </c>
      <c r="G87" s="10">
        <v>45400</v>
      </c>
      <c r="H87" t="s">
        <v>40</v>
      </c>
      <c r="I87" t="s">
        <v>82</v>
      </c>
      <c r="J87" t="s">
        <v>48</v>
      </c>
      <c r="K87" t="s">
        <v>132</v>
      </c>
      <c r="L87" t="s">
        <v>58</v>
      </c>
      <c r="M87" t="s">
        <v>122</v>
      </c>
      <c r="N87">
        <v>6</v>
      </c>
      <c r="O87" t="s">
        <v>117</v>
      </c>
      <c r="P87" s="11">
        <v>6600</v>
      </c>
      <c r="Q87" t="s">
        <v>66</v>
      </c>
      <c r="R87" s="11">
        <f t="shared" si="2"/>
        <v>6600</v>
      </c>
      <c r="S87" t="str">
        <f t="shared" si="3"/>
        <v>One-Time</v>
      </c>
    </row>
    <row r="88" spans="1:19" ht="15" customHeight="1" x14ac:dyDescent="0.3">
      <c r="A88">
        <v>87</v>
      </c>
      <c r="B88" t="s">
        <v>270</v>
      </c>
      <c r="C88">
        <v>6702100</v>
      </c>
      <c r="D88" t="s">
        <v>114</v>
      </c>
      <c r="E88">
        <v>49</v>
      </c>
      <c r="F88" t="s">
        <v>76</v>
      </c>
      <c r="G88" s="10">
        <v>45401</v>
      </c>
      <c r="H88" t="s">
        <v>40</v>
      </c>
      <c r="I88" t="s">
        <v>85</v>
      </c>
      <c r="J88" t="s">
        <v>48</v>
      </c>
      <c r="K88" t="s">
        <v>132</v>
      </c>
      <c r="L88" t="s">
        <v>58</v>
      </c>
      <c r="M88" t="s">
        <v>122</v>
      </c>
      <c r="N88">
        <v>31</v>
      </c>
      <c r="O88" t="s">
        <v>117</v>
      </c>
      <c r="P88" s="11">
        <v>6600</v>
      </c>
      <c r="Q88" t="s">
        <v>64</v>
      </c>
      <c r="R88" s="11">
        <f t="shared" si="2"/>
        <v>0</v>
      </c>
      <c r="S88" t="str">
        <f t="shared" si="3"/>
        <v>One-Time</v>
      </c>
    </row>
    <row r="89" spans="1:19" ht="15" customHeight="1" x14ac:dyDescent="0.3">
      <c r="A89">
        <v>88</v>
      </c>
      <c r="B89" t="s">
        <v>271</v>
      </c>
      <c r="C89">
        <v>6243782</v>
      </c>
      <c r="D89" t="s">
        <v>114</v>
      </c>
      <c r="E89">
        <v>33</v>
      </c>
      <c r="F89" t="s">
        <v>76</v>
      </c>
      <c r="G89" s="10">
        <v>45402</v>
      </c>
      <c r="H89" t="s">
        <v>40</v>
      </c>
      <c r="I89" t="s">
        <v>82</v>
      </c>
      <c r="J89" t="s">
        <v>48</v>
      </c>
      <c r="K89" t="s">
        <v>132</v>
      </c>
      <c r="L89" t="s">
        <v>58</v>
      </c>
      <c r="M89" t="s">
        <v>122</v>
      </c>
      <c r="N89">
        <v>2</v>
      </c>
      <c r="O89" t="s">
        <v>117</v>
      </c>
      <c r="P89" s="11">
        <v>6600</v>
      </c>
      <c r="Q89" t="s">
        <v>272</v>
      </c>
      <c r="R89" s="11">
        <f t="shared" si="2"/>
        <v>6600</v>
      </c>
      <c r="S89" t="str">
        <f t="shared" si="3"/>
        <v>One-Time</v>
      </c>
    </row>
    <row r="90" spans="1:19" ht="15" customHeight="1" x14ac:dyDescent="0.3">
      <c r="A90">
        <v>89</v>
      </c>
      <c r="B90" t="s">
        <v>273</v>
      </c>
      <c r="C90">
        <v>3641651</v>
      </c>
      <c r="D90" t="s">
        <v>114</v>
      </c>
      <c r="E90">
        <v>22</v>
      </c>
      <c r="F90" t="s">
        <v>75</v>
      </c>
      <c r="G90" s="10">
        <v>45403</v>
      </c>
      <c r="H90" t="s">
        <v>40</v>
      </c>
      <c r="I90" t="s">
        <v>82</v>
      </c>
      <c r="J90" t="s">
        <v>48</v>
      </c>
      <c r="K90" t="s">
        <v>132</v>
      </c>
      <c r="L90" t="s">
        <v>58</v>
      </c>
      <c r="M90" t="s">
        <v>116</v>
      </c>
      <c r="N90">
        <v>5</v>
      </c>
      <c r="O90" t="s">
        <v>117</v>
      </c>
      <c r="P90" s="11">
        <v>6600</v>
      </c>
      <c r="Q90" t="s">
        <v>66</v>
      </c>
      <c r="R90" s="11">
        <f t="shared" si="2"/>
        <v>6600</v>
      </c>
      <c r="S90" t="str">
        <f t="shared" si="3"/>
        <v>One-Time</v>
      </c>
    </row>
    <row r="91" spans="1:19" ht="15" customHeight="1" x14ac:dyDescent="0.3">
      <c r="A91">
        <v>90</v>
      </c>
      <c r="B91" t="s">
        <v>274</v>
      </c>
      <c r="C91">
        <v>7662369</v>
      </c>
      <c r="D91" t="s">
        <v>114</v>
      </c>
      <c r="E91">
        <v>18</v>
      </c>
      <c r="F91" t="s">
        <v>75</v>
      </c>
      <c r="G91" s="10">
        <v>45404</v>
      </c>
      <c r="H91" t="s">
        <v>40</v>
      </c>
      <c r="I91" t="s">
        <v>82</v>
      </c>
      <c r="J91" t="s">
        <v>48</v>
      </c>
      <c r="K91" t="s">
        <v>132</v>
      </c>
      <c r="L91" t="s">
        <v>58</v>
      </c>
      <c r="M91" t="s">
        <v>116</v>
      </c>
      <c r="N91">
        <v>5</v>
      </c>
      <c r="O91" t="s">
        <v>117</v>
      </c>
      <c r="P91" s="11">
        <v>6600</v>
      </c>
      <c r="Q91" t="s">
        <v>275</v>
      </c>
      <c r="R91" s="11">
        <f t="shared" si="2"/>
        <v>6600</v>
      </c>
      <c r="S91" t="str">
        <f t="shared" si="3"/>
        <v>One-Time</v>
      </c>
    </row>
    <row r="92" spans="1:19" ht="15" customHeight="1" x14ac:dyDescent="0.3">
      <c r="A92">
        <v>91</v>
      </c>
      <c r="B92" t="s">
        <v>276</v>
      </c>
      <c r="C92">
        <v>8575376</v>
      </c>
      <c r="D92" t="s">
        <v>114</v>
      </c>
      <c r="E92">
        <v>32</v>
      </c>
      <c r="F92" t="s">
        <v>76</v>
      </c>
      <c r="G92" s="10">
        <v>45405</v>
      </c>
      <c r="H92" t="s">
        <v>40</v>
      </c>
      <c r="I92" t="s">
        <v>82</v>
      </c>
      <c r="J92" t="s">
        <v>48</v>
      </c>
      <c r="K92" t="s">
        <v>132</v>
      </c>
      <c r="L92" t="s">
        <v>58</v>
      </c>
      <c r="M92" t="s">
        <v>116</v>
      </c>
      <c r="N92">
        <v>8</v>
      </c>
      <c r="O92" t="s">
        <v>117</v>
      </c>
      <c r="P92" s="11">
        <v>6600</v>
      </c>
      <c r="Q92" t="s">
        <v>63</v>
      </c>
      <c r="R92" s="11">
        <f t="shared" si="2"/>
        <v>6600</v>
      </c>
      <c r="S92" t="str">
        <f t="shared" si="3"/>
        <v>One-Time</v>
      </c>
    </row>
    <row r="93" spans="1:19" ht="15" customHeight="1" x14ac:dyDescent="0.3">
      <c r="A93">
        <v>92</v>
      </c>
      <c r="B93" t="s">
        <v>277</v>
      </c>
      <c r="C93">
        <v>7384618</v>
      </c>
      <c r="D93" t="s">
        <v>114</v>
      </c>
      <c r="E93">
        <v>48</v>
      </c>
      <c r="F93" t="s">
        <v>76</v>
      </c>
      <c r="G93" s="10">
        <v>45406</v>
      </c>
      <c r="H93" t="s">
        <v>40</v>
      </c>
      <c r="I93" t="s">
        <v>82</v>
      </c>
      <c r="J93" t="s">
        <v>48</v>
      </c>
      <c r="K93" t="s">
        <v>132</v>
      </c>
      <c r="L93" t="s">
        <v>58</v>
      </c>
      <c r="M93" t="s">
        <v>116</v>
      </c>
      <c r="N93">
        <v>9</v>
      </c>
      <c r="O93" t="s">
        <v>117</v>
      </c>
      <c r="P93" s="11">
        <v>6600</v>
      </c>
      <c r="Q93" t="s">
        <v>65</v>
      </c>
      <c r="R93" s="11">
        <f t="shared" si="2"/>
        <v>6600</v>
      </c>
      <c r="S93" t="str">
        <f t="shared" si="3"/>
        <v>Repeat</v>
      </c>
    </row>
    <row r="94" spans="1:19" ht="15" customHeight="1" x14ac:dyDescent="0.3">
      <c r="A94">
        <v>93</v>
      </c>
      <c r="B94" t="s">
        <v>277</v>
      </c>
      <c r="C94">
        <v>7384618</v>
      </c>
      <c r="D94" t="s">
        <v>114</v>
      </c>
      <c r="E94">
        <v>36</v>
      </c>
      <c r="F94" t="s">
        <v>76</v>
      </c>
      <c r="G94" s="10">
        <v>45407</v>
      </c>
      <c r="H94" t="s">
        <v>40</v>
      </c>
      <c r="I94" t="s">
        <v>82</v>
      </c>
      <c r="J94" t="s">
        <v>48</v>
      </c>
      <c r="K94" t="s">
        <v>142</v>
      </c>
      <c r="L94" t="s">
        <v>58</v>
      </c>
      <c r="M94" t="s">
        <v>116</v>
      </c>
      <c r="N94">
        <v>8</v>
      </c>
      <c r="O94" t="s">
        <v>117</v>
      </c>
      <c r="P94" s="11">
        <v>6600</v>
      </c>
      <c r="Q94" t="s">
        <v>278</v>
      </c>
      <c r="R94" s="11">
        <f t="shared" si="2"/>
        <v>6600</v>
      </c>
      <c r="S94" t="str">
        <f t="shared" si="3"/>
        <v>Repeat</v>
      </c>
    </row>
    <row r="95" spans="1:19" ht="15" customHeight="1" x14ac:dyDescent="0.3">
      <c r="A95">
        <v>94</v>
      </c>
      <c r="B95" t="s">
        <v>279</v>
      </c>
      <c r="C95">
        <v>3542194</v>
      </c>
      <c r="D95" t="s">
        <v>114</v>
      </c>
      <c r="E95">
        <v>20</v>
      </c>
      <c r="F95" t="s">
        <v>75</v>
      </c>
      <c r="G95" s="10">
        <v>45408</v>
      </c>
      <c r="H95" t="s">
        <v>40</v>
      </c>
      <c r="I95" t="s">
        <v>82</v>
      </c>
      <c r="J95" t="s">
        <v>48</v>
      </c>
      <c r="K95" t="s">
        <v>142</v>
      </c>
      <c r="L95" t="s">
        <v>58</v>
      </c>
      <c r="M95" t="s">
        <v>116</v>
      </c>
      <c r="N95">
        <v>3</v>
      </c>
      <c r="O95" t="s">
        <v>117</v>
      </c>
      <c r="P95" s="11">
        <v>6600</v>
      </c>
      <c r="Q95" t="s">
        <v>280</v>
      </c>
      <c r="R95" s="11">
        <f t="shared" si="2"/>
        <v>6600</v>
      </c>
      <c r="S95" t="str">
        <f t="shared" si="3"/>
        <v>One-Time</v>
      </c>
    </row>
    <row r="96" spans="1:19" ht="15" customHeight="1" x14ac:dyDescent="0.3">
      <c r="A96">
        <v>95</v>
      </c>
      <c r="B96" t="s">
        <v>281</v>
      </c>
      <c r="C96">
        <v>6859790</v>
      </c>
      <c r="D96" t="s">
        <v>114</v>
      </c>
      <c r="E96">
        <v>48</v>
      </c>
      <c r="F96" t="s">
        <v>76</v>
      </c>
      <c r="G96" s="10">
        <v>45409</v>
      </c>
      <c r="H96" t="s">
        <v>40</v>
      </c>
      <c r="I96" t="s">
        <v>82</v>
      </c>
      <c r="J96" t="s">
        <v>48</v>
      </c>
      <c r="K96" t="s">
        <v>142</v>
      </c>
      <c r="L96" t="s">
        <v>58</v>
      </c>
      <c r="M96" t="s">
        <v>116</v>
      </c>
      <c r="N96">
        <v>4</v>
      </c>
      <c r="O96" t="s">
        <v>117</v>
      </c>
      <c r="P96" s="11">
        <v>6600</v>
      </c>
      <c r="Q96" t="s">
        <v>71</v>
      </c>
      <c r="R96" s="11">
        <f t="shared" si="2"/>
        <v>6600</v>
      </c>
      <c r="S96" t="str">
        <f t="shared" si="3"/>
        <v>One-Time</v>
      </c>
    </row>
    <row r="97" spans="1:19" ht="15" customHeight="1" x14ac:dyDescent="0.3">
      <c r="A97">
        <v>96</v>
      </c>
      <c r="B97" t="s">
        <v>282</v>
      </c>
      <c r="C97">
        <v>347306</v>
      </c>
      <c r="D97" t="s">
        <v>114</v>
      </c>
      <c r="E97">
        <v>66</v>
      </c>
      <c r="F97" t="s">
        <v>77</v>
      </c>
      <c r="G97" s="10">
        <v>45410</v>
      </c>
      <c r="H97" t="s">
        <v>40</v>
      </c>
      <c r="I97" t="s">
        <v>82</v>
      </c>
      <c r="J97" t="s">
        <v>48</v>
      </c>
      <c r="K97" t="s">
        <v>142</v>
      </c>
      <c r="L97" t="s">
        <v>58</v>
      </c>
      <c r="M97" t="s">
        <v>116</v>
      </c>
      <c r="N97">
        <v>4</v>
      </c>
      <c r="O97" t="s">
        <v>117</v>
      </c>
      <c r="P97" s="11">
        <v>6600</v>
      </c>
      <c r="Q97" t="s">
        <v>63</v>
      </c>
      <c r="R97" s="11">
        <f t="shared" si="2"/>
        <v>6600</v>
      </c>
      <c r="S97" t="str">
        <f t="shared" si="3"/>
        <v>One-Time</v>
      </c>
    </row>
    <row r="98" spans="1:19" ht="15" customHeight="1" x14ac:dyDescent="0.3">
      <c r="A98">
        <v>97</v>
      </c>
      <c r="B98" t="s">
        <v>283</v>
      </c>
      <c r="C98">
        <v>7048232</v>
      </c>
      <c r="D98" t="s">
        <v>114</v>
      </c>
      <c r="E98">
        <v>60</v>
      </c>
      <c r="F98" t="s">
        <v>77</v>
      </c>
      <c r="G98" s="10">
        <v>45411</v>
      </c>
      <c r="H98" t="s">
        <v>40</v>
      </c>
      <c r="I98" t="s">
        <v>82</v>
      </c>
      <c r="J98" t="s">
        <v>48</v>
      </c>
      <c r="K98" t="s">
        <v>142</v>
      </c>
      <c r="L98" t="s">
        <v>58</v>
      </c>
      <c r="M98" t="s">
        <v>116</v>
      </c>
      <c r="N98">
        <v>9</v>
      </c>
      <c r="O98" t="s">
        <v>117</v>
      </c>
      <c r="P98" s="11">
        <v>6600</v>
      </c>
      <c r="Q98" t="s">
        <v>284</v>
      </c>
      <c r="R98" s="11">
        <f t="shared" si="2"/>
        <v>6600</v>
      </c>
      <c r="S98" t="str">
        <f t="shared" si="3"/>
        <v>One-Time</v>
      </c>
    </row>
    <row r="99" spans="1:19" ht="15" customHeight="1" x14ac:dyDescent="0.3">
      <c r="A99">
        <v>98</v>
      </c>
      <c r="B99" t="s">
        <v>285</v>
      </c>
      <c r="C99">
        <v>5516090</v>
      </c>
      <c r="D99" t="s">
        <v>114</v>
      </c>
      <c r="E99">
        <v>47</v>
      </c>
      <c r="F99" t="s">
        <v>76</v>
      </c>
      <c r="G99" s="10">
        <v>45412</v>
      </c>
      <c r="H99" t="s">
        <v>40</v>
      </c>
      <c r="I99" t="s">
        <v>82</v>
      </c>
      <c r="J99" t="s">
        <v>48</v>
      </c>
      <c r="K99" t="s">
        <v>142</v>
      </c>
      <c r="L99" t="s">
        <v>58</v>
      </c>
      <c r="M99" t="s">
        <v>116</v>
      </c>
      <c r="N99">
        <v>8</v>
      </c>
      <c r="O99" t="s">
        <v>117</v>
      </c>
      <c r="P99" s="11">
        <v>6600</v>
      </c>
      <c r="Q99" t="s">
        <v>286</v>
      </c>
      <c r="R99" s="11">
        <f t="shared" si="2"/>
        <v>6600</v>
      </c>
      <c r="S99" t="str">
        <f t="shared" si="3"/>
        <v>One-Time</v>
      </c>
    </row>
    <row r="100" spans="1:19" ht="15" customHeight="1" x14ac:dyDescent="0.3">
      <c r="A100">
        <v>99</v>
      </c>
      <c r="B100" t="s">
        <v>287</v>
      </c>
      <c r="C100">
        <v>294848</v>
      </c>
      <c r="D100" t="s">
        <v>114</v>
      </c>
      <c r="E100">
        <v>19</v>
      </c>
      <c r="F100" t="s">
        <v>75</v>
      </c>
      <c r="G100" s="10">
        <v>45413</v>
      </c>
      <c r="H100" t="s">
        <v>41</v>
      </c>
      <c r="I100" t="s">
        <v>82</v>
      </c>
      <c r="J100" t="s">
        <v>48</v>
      </c>
      <c r="K100" t="s">
        <v>142</v>
      </c>
      <c r="L100" t="s">
        <v>58</v>
      </c>
      <c r="M100" t="s">
        <v>116</v>
      </c>
      <c r="N100">
        <v>3</v>
      </c>
      <c r="O100" t="s">
        <v>117</v>
      </c>
      <c r="P100" s="11">
        <v>6600</v>
      </c>
      <c r="Q100" t="s">
        <v>62</v>
      </c>
      <c r="R100" s="11">
        <f t="shared" si="2"/>
        <v>6600</v>
      </c>
      <c r="S100" t="str">
        <f t="shared" si="3"/>
        <v>One-Time</v>
      </c>
    </row>
    <row r="101" spans="1:19" ht="15" customHeight="1" x14ac:dyDescent="0.3">
      <c r="A101">
        <v>100</v>
      </c>
      <c r="B101" t="s">
        <v>288</v>
      </c>
      <c r="C101">
        <v>6522716</v>
      </c>
      <c r="D101" t="s">
        <v>114</v>
      </c>
      <c r="E101">
        <v>48</v>
      </c>
      <c r="F101" t="s">
        <v>76</v>
      </c>
      <c r="G101" s="10">
        <v>45414</v>
      </c>
      <c r="H101" t="s">
        <v>41</v>
      </c>
      <c r="I101" t="s">
        <v>82</v>
      </c>
      <c r="J101" t="s">
        <v>48</v>
      </c>
      <c r="K101" t="s">
        <v>142</v>
      </c>
      <c r="L101" t="s">
        <v>58</v>
      </c>
      <c r="M101" t="s">
        <v>116</v>
      </c>
      <c r="N101">
        <v>6</v>
      </c>
      <c r="O101" t="s">
        <v>117</v>
      </c>
      <c r="P101" s="11">
        <v>6600</v>
      </c>
      <c r="Q101" t="s">
        <v>62</v>
      </c>
      <c r="R101" s="11">
        <f t="shared" si="2"/>
        <v>6600</v>
      </c>
      <c r="S101" t="str">
        <f t="shared" si="3"/>
        <v>Repeat</v>
      </c>
    </row>
    <row r="102" spans="1:19" ht="15" customHeight="1" x14ac:dyDescent="0.3">
      <c r="A102">
        <v>101</v>
      </c>
      <c r="B102" t="s">
        <v>288</v>
      </c>
      <c r="C102">
        <v>6522716</v>
      </c>
      <c r="D102" t="s">
        <v>114</v>
      </c>
      <c r="E102">
        <v>78</v>
      </c>
      <c r="F102" t="s">
        <v>77</v>
      </c>
      <c r="G102" s="10">
        <v>45415</v>
      </c>
      <c r="H102" t="s">
        <v>41</v>
      </c>
      <c r="I102" t="s">
        <v>82</v>
      </c>
      <c r="J102" t="s">
        <v>48</v>
      </c>
      <c r="K102" t="s">
        <v>142</v>
      </c>
      <c r="L102" t="s">
        <v>58</v>
      </c>
      <c r="M102" t="s">
        <v>116</v>
      </c>
      <c r="N102">
        <v>9</v>
      </c>
      <c r="O102" t="s">
        <v>117</v>
      </c>
      <c r="P102" s="11">
        <v>6600</v>
      </c>
      <c r="Q102" t="s">
        <v>64</v>
      </c>
      <c r="R102" s="11">
        <f t="shared" si="2"/>
        <v>6600</v>
      </c>
      <c r="S102" t="str">
        <f t="shared" si="3"/>
        <v>Repeat</v>
      </c>
    </row>
    <row r="103" spans="1:19" ht="15" customHeight="1" x14ac:dyDescent="0.3">
      <c r="A103">
        <v>102</v>
      </c>
      <c r="B103" t="s">
        <v>289</v>
      </c>
      <c r="C103">
        <v>3094141</v>
      </c>
      <c r="D103" t="s">
        <v>114</v>
      </c>
      <c r="E103">
        <v>40</v>
      </c>
      <c r="F103" t="s">
        <v>76</v>
      </c>
      <c r="G103" s="10">
        <v>45416</v>
      </c>
      <c r="H103" t="s">
        <v>41</v>
      </c>
      <c r="I103" t="s">
        <v>82</v>
      </c>
      <c r="J103" t="s">
        <v>48</v>
      </c>
      <c r="K103" t="s">
        <v>142</v>
      </c>
      <c r="L103" t="s">
        <v>58</v>
      </c>
      <c r="M103" t="s">
        <v>116</v>
      </c>
      <c r="N103">
        <v>2</v>
      </c>
      <c r="O103" t="s">
        <v>117</v>
      </c>
      <c r="P103" s="11">
        <v>6600</v>
      </c>
      <c r="Q103" t="s">
        <v>214</v>
      </c>
      <c r="R103" s="11">
        <f t="shared" si="2"/>
        <v>6600</v>
      </c>
      <c r="S103" t="str">
        <f t="shared" si="3"/>
        <v>One-Time</v>
      </c>
    </row>
    <row r="104" spans="1:19" ht="15" customHeight="1" x14ac:dyDescent="0.3">
      <c r="A104">
        <v>103</v>
      </c>
      <c r="B104" t="s">
        <v>290</v>
      </c>
      <c r="C104">
        <v>8966819</v>
      </c>
      <c r="D104" t="s">
        <v>114</v>
      </c>
      <c r="E104">
        <v>38</v>
      </c>
      <c r="F104" t="s">
        <v>76</v>
      </c>
      <c r="G104" s="10">
        <v>45417</v>
      </c>
      <c r="H104" t="s">
        <v>41</v>
      </c>
      <c r="I104" t="s">
        <v>82</v>
      </c>
      <c r="J104" t="s">
        <v>48</v>
      </c>
      <c r="K104" t="s">
        <v>142</v>
      </c>
      <c r="L104" t="s">
        <v>58</v>
      </c>
      <c r="M104" t="s">
        <v>116</v>
      </c>
      <c r="N104">
        <v>5</v>
      </c>
      <c r="O104" t="s">
        <v>117</v>
      </c>
      <c r="P104" s="11">
        <v>6900</v>
      </c>
      <c r="Q104" t="s">
        <v>291</v>
      </c>
      <c r="R104" s="11">
        <f t="shared" si="2"/>
        <v>6900</v>
      </c>
      <c r="S104" t="str">
        <f t="shared" si="3"/>
        <v>One-Time</v>
      </c>
    </row>
    <row r="105" spans="1:19" ht="15" customHeight="1" x14ac:dyDescent="0.3">
      <c r="A105">
        <v>104</v>
      </c>
      <c r="B105" t="s">
        <v>292</v>
      </c>
      <c r="C105">
        <v>2716293</v>
      </c>
      <c r="D105" t="s">
        <v>114</v>
      </c>
      <c r="E105">
        <v>21</v>
      </c>
      <c r="F105" t="s">
        <v>75</v>
      </c>
      <c r="G105" s="10">
        <v>45418</v>
      </c>
      <c r="H105" t="s">
        <v>41</v>
      </c>
      <c r="I105" t="s">
        <v>82</v>
      </c>
      <c r="J105" t="s">
        <v>48</v>
      </c>
      <c r="K105" t="s">
        <v>142</v>
      </c>
      <c r="L105" t="s">
        <v>58</v>
      </c>
      <c r="M105" t="s">
        <v>116</v>
      </c>
      <c r="N105">
        <v>6</v>
      </c>
      <c r="O105" t="s">
        <v>117</v>
      </c>
      <c r="P105" s="11">
        <v>6900</v>
      </c>
      <c r="Q105" t="s">
        <v>63</v>
      </c>
      <c r="R105" s="11">
        <f t="shared" si="2"/>
        <v>6900</v>
      </c>
      <c r="S105" t="str">
        <f t="shared" si="3"/>
        <v>One-Time</v>
      </c>
    </row>
    <row r="106" spans="1:19" ht="15" customHeight="1" x14ac:dyDescent="0.3">
      <c r="A106">
        <v>105</v>
      </c>
      <c r="B106" t="s">
        <v>293</v>
      </c>
      <c r="C106">
        <v>9848998</v>
      </c>
      <c r="D106" t="s">
        <v>114</v>
      </c>
      <c r="E106">
        <v>38</v>
      </c>
      <c r="F106" t="s">
        <v>76</v>
      </c>
      <c r="G106" s="10">
        <v>45419</v>
      </c>
      <c r="H106" t="s">
        <v>41</v>
      </c>
      <c r="I106" t="s">
        <v>82</v>
      </c>
      <c r="J106" t="s">
        <v>48</v>
      </c>
      <c r="K106" t="s">
        <v>142</v>
      </c>
      <c r="L106" t="s">
        <v>58</v>
      </c>
      <c r="M106" t="s">
        <v>122</v>
      </c>
      <c r="N106">
        <v>9</v>
      </c>
      <c r="O106" t="s">
        <v>117</v>
      </c>
      <c r="P106" s="11">
        <v>6900</v>
      </c>
      <c r="Q106" t="s">
        <v>294</v>
      </c>
      <c r="R106" s="11">
        <f t="shared" si="2"/>
        <v>6900</v>
      </c>
      <c r="S106" t="str">
        <f t="shared" si="3"/>
        <v>One-Time</v>
      </c>
    </row>
    <row r="107" spans="1:19" ht="15" customHeight="1" x14ac:dyDescent="0.3">
      <c r="A107">
        <v>106</v>
      </c>
      <c r="B107" t="s">
        <v>295</v>
      </c>
      <c r="C107">
        <v>6592212</v>
      </c>
      <c r="D107" t="s">
        <v>114</v>
      </c>
      <c r="E107">
        <v>25</v>
      </c>
      <c r="F107" t="s">
        <v>75</v>
      </c>
      <c r="G107" s="10">
        <v>45420</v>
      </c>
      <c r="H107" t="s">
        <v>41</v>
      </c>
      <c r="I107" t="s">
        <v>82</v>
      </c>
      <c r="J107" t="s">
        <v>48</v>
      </c>
      <c r="K107" t="s">
        <v>142</v>
      </c>
      <c r="L107" t="s">
        <v>58</v>
      </c>
      <c r="M107" t="s">
        <v>122</v>
      </c>
      <c r="N107">
        <v>7</v>
      </c>
      <c r="O107" t="s">
        <v>117</v>
      </c>
      <c r="P107" s="11">
        <v>6900</v>
      </c>
      <c r="Q107" t="s">
        <v>296</v>
      </c>
      <c r="R107" s="11">
        <f t="shared" si="2"/>
        <v>6900</v>
      </c>
      <c r="S107" t="str">
        <f t="shared" si="3"/>
        <v>One-Time</v>
      </c>
    </row>
    <row r="108" spans="1:19" ht="15" customHeight="1" x14ac:dyDescent="0.3">
      <c r="A108">
        <v>107</v>
      </c>
      <c r="B108" t="s">
        <v>297</v>
      </c>
      <c r="C108">
        <v>5467416</v>
      </c>
      <c r="D108" t="s">
        <v>114</v>
      </c>
      <c r="E108">
        <v>35</v>
      </c>
      <c r="F108" t="s">
        <v>76</v>
      </c>
      <c r="G108" s="10">
        <v>45421</v>
      </c>
      <c r="H108" t="s">
        <v>41</v>
      </c>
      <c r="I108" t="s">
        <v>82</v>
      </c>
      <c r="J108" t="s">
        <v>48</v>
      </c>
      <c r="K108" t="s">
        <v>142</v>
      </c>
      <c r="L108" t="s">
        <v>58</v>
      </c>
      <c r="M108" t="s">
        <v>122</v>
      </c>
      <c r="N108">
        <v>81</v>
      </c>
      <c r="O108" t="s">
        <v>117</v>
      </c>
      <c r="P108" s="11">
        <v>6900</v>
      </c>
      <c r="Q108" t="s">
        <v>298</v>
      </c>
      <c r="R108" s="11">
        <f t="shared" si="2"/>
        <v>6900</v>
      </c>
      <c r="S108" t="str">
        <f t="shared" si="3"/>
        <v>One-Time</v>
      </c>
    </row>
    <row r="109" spans="1:19" ht="15" customHeight="1" x14ac:dyDescent="0.3">
      <c r="A109">
        <v>108</v>
      </c>
      <c r="B109" t="s">
        <v>299</v>
      </c>
      <c r="C109">
        <v>1265802</v>
      </c>
      <c r="D109" t="s">
        <v>114</v>
      </c>
      <c r="E109">
        <v>23</v>
      </c>
      <c r="F109" t="s">
        <v>75</v>
      </c>
      <c r="G109" s="10">
        <v>45422</v>
      </c>
      <c r="H109" t="s">
        <v>41</v>
      </c>
      <c r="I109" t="s">
        <v>82</v>
      </c>
      <c r="J109" t="s">
        <v>48</v>
      </c>
      <c r="K109" t="s">
        <v>115</v>
      </c>
      <c r="L109" t="s">
        <v>58</v>
      </c>
      <c r="M109" t="s">
        <v>122</v>
      </c>
      <c r="N109">
        <v>24</v>
      </c>
      <c r="O109" t="s">
        <v>117</v>
      </c>
      <c r="P109" s="11">
        <v>6900</v>
      </c>
      <c r="Q109" t="s">
        <v>300</v>
      </c>
      <c r="R109" s="11">
        <f t="shared" si="2"/>
        <v>6900</v>
      </c>
      <c r="S109" t="str">
        <f t="shared" si="3"/>
        <v>One-Time</v>
      </c>
    </row>
    <row r="110" spans="1:19" ht="15" customHeight="1" x14ac:dyDescent="0.3">
      <c r="A110">
        <v>109</v>
      </c>
      <c r="B110" t="s">
        <v>301</v>
      </c>
      <c r="C110">
        <v>9585512</v>
      </c>
      <c r="D110" t="s">
        <v>114</v>
      </c>
      <c r="E110">
        <v>61</v>
      </c>
      <c r="F110" t="s">
        <v>77</v>
      </c>
      <c r="G110" s="10">
        <v>45423</v>
      </c>
      <c r="H110" t="s">
        <v>41</v>
      </c>
      <c r="I110" t="s">
        <v>82</v>
      </c>
      <c r="J110" t="s">
        <v>48</v>
      </c>
      <c r="K110" t="s">
        <v>115</v>
      </c>
      <c r="L110" t="s">
        <v>58</v>
      </c>
      <c r="M110" t="s">
        <v>122</v>
      </c>
      <c r="N110">
        <v>56</v>
      </c>
      <c r="O110" t="s">
        <v>117</v>
      </c>
      <c r="P110" s="11">
        <v>6900</v>
      </c>
      <c r="Q110" t="s">
        <v>64</v>
      </c>
      <c r="R110" s="11">
        <f t="shared" si="2"/>
        <v>6900</v>
      </c>
      <c r="S110" t="str">
        <f t="shared" si="3"/>
        <v>One-Time</v>
      </c>
    </row>
    <row r="111" spans="1:19" ht="15" customHeight="1" x14ac:dyDescent="0.3">
      <c r="A111">
        <v>110</v>
      </c>
      <c r="B111" t="s">
        <v>302</v>
      </c>
      <c r="C111">
        <v>6513430</v>
      </c>
      <c r="D111" t="s">
        <v>114</v>
      </c>
      <c r="E111">
        <v>40</v>
      </c>
      <c r="F111" t="s">
        <v>76</v>
      </c>
      <c r="G111" s="10">
        <v>45424</v>
      </c>
      <c r="H111" t="s">
        <v>41</v>
      </c>
      <c r="I111" t="s">
        <v>82</v>
      </c>
      <c r="J111" t="s">
        <v>48</v>
      </c>
      <c r="K111" t="s">
        <v>115</v>
      </c>
      <c r="L111" t="s">
        <v>58</v>
      </c>
      <c r="M111" t="s">
        <v>122</v>
      </c>
      <c r="N111">
        <v>55</v>
      </c>
      <c r="O111" t="s">
        <v>117</v>
      </c>
      <c r="P111" s="11">
        <v>6900</v>
      </c>
      <c r="Q111" t="s">
        <v>298</v>
      </c>
      <c r="R111" s="11">
        <f t="shared" si="2"/>
        <v>6900</v>
      </c>
      <c r="S111" t="str">
        <f t="shared" si="3"/>
        <v>One-Time</v>
      </c>
    </row>
    <row r="112" spans="1:19" ht="15" customHeight="1" x14ac:dyDescent="0.3">
      <c r="A112">
        <v>111</v>
      </c>
      <c r="B112" t="s">
        <v>303</v>
      </c>
      <c r="C112">
        <v>7694216</v>
      </c>
      <c r="D112" t="s">
        <v>114</v>
      </c>
      <c r="E112">
        <v>32</v>
      </c>
      <c r="F112" t="s">
        <v>76</v>
      </c>
      <c r="G112" s="10">
        <v>45425</v>
      </c>
      <c r="H112" t="s">
        <v>41</v>
      </c>
      <c r="I112" t="s">
        <v>82</v>
      </c>
      <c r="J112" t="s">
        <v>48</v>
      </c>
      <c r="K112" t="s">
        <v>115</v>
      </c>
      <c r="L112" t="s">
        <v>58</v>
      </c>
      <c r="M112" t="s">
        <v>122</v>
      </c>
      <c r="N112">
        <v>5</v>
      </c>
      <c r="O112" t="s">
        <v>117</v>
      </c>
      <c r="P112" s="11">
        <v>6900</v>
      </c>
      <c r="Q112" t="s">
        <v>304</v>
      </c>
      <c r="R112" s="11">
        <f t="shared" si="2"/>
        <v>6900</v>
      </c>
      <c r="S112" t="str">
        <f t="shared" si="3"/>
        <v>One-Time</v>
      </c>
    </row>
    <row r="113" spans="1:19" ht="15" customHeight="1" x14ac:dyDescent="0.3">
      <c r="A113">
        <v>112</v>
      </c>
      <c r="B113" t="s">
        <v>305</v>
      </c>
      <c r="C113">
        <v>5911668</v>
      </c>
      <c r="D113" t="s">
        <v>114</v>
      </c>
      <c r="E113">
        <v>31</v>
      </c>
      <c r="F113" t="s">
        <v>76</v>
      </c>
      <c r="G113" s="10">
        <v>45426</v>
      </c>
      <c r="H113" t="s">
        <v>41</v>
      </c>
      <c r="I113" t="s">
        <v>82</v>
      </c>
      <c r="J113" t="s">
        <v>48</v>
      </c>
      <c r="K113" t="s">
        <v>115</v>
      </c>
      <c r="L113" t="s">
        <v>58</v>
      </c>
      <c r="M113" t="s">
        <v>122</v>
      </c>
      <c r="N113">
        <v>4</v>
      </c>
      <c r="O113" t="s">
        <v>117</v>
      </c>
      <c r="P113" s="11">
        <v>6900</v>
      </c>
      <c r="Q113" t="s">
        <v>64</v>
      </c>
      <c r="R113" s="11">
        <f t="shared" si="2"/>
        <v>6900</v>
      </c>
      <c r="S113" t="str">
        <f t="shared" si="3"/>
        <v>One-Time</v>
      </c>
    </row>
    <row r="114" spans="1:19" ht="15" customHeight="1" x14ac:dyDescent="0.3">
      <c r="A114">
        <v>113</v>
      </c>
      <c r="B114" t="s">
        <v>306</v>
      </c>
      <c r="C114">
        <v>5364170</v>
      </c>
      <c r="D114" t="s">
        <v>114</v>
      </c>
      <c r="E114">
        <v>29</v>
      </c>
      <c r="F114" t="s">
        <v>75</v>
      </c>
      <c r="G114" s="10">
        <v>45427</v>
      </c>
      <c r="H114" t="s">
        <v>41</v>
      </c>
      <c r="I114" t="s">
        <v>82</v>
      </c>
      <c r="J114" t="s">
        <v>48</v>
      </c>
      <c r="K114" t="s">
        <v>168</v>
      </c>
      <c r="L114" t="s">
        <v>58</v>
      </c>
      <c r="M114" t="s">
        <v>122</v>
      </c>
      <c r="N114">
        <v>8</v>
      </c>
      <c r="O114" t="s">
        <v>117</v>
      </c>
      <c r="P114" s="11">
        <v>6900</v>
      </c>
      <c r="Q114" t="s">
        <v>307</v>
      </c>
      <c r="R114" s="11">
        <f t="shared" si="2"/>
        <v>6900</v>
      </c>
      <c r="S114" t="str">
        <f t="shared" si="3"/>
        <v>One-Time</v>
      </c>
    </row>
    <row r="115" spans="1:19" ht="15" customHeight="1" x14ac:dyDescent="0.3">
      <c r="A115">
        <v>114</v>
      </c>
      <c r="B115" t="s">
        <v>308</v>
      </c>
      <c r="C115">
        <v>3614770</v>
      </c>
      <c r="D115" t="s">
        <v>114</v>
      </c>
      <c r="E115">
        <v>27</v>
      </c>
      <c r="F115" t="s">
        <v>75</v>
      </c>
      <c r="G115" s="10">
        <v>45428</v>
      </c>
      <c r="H115" t="s">
        <v>41</v>
      </c>
      <c r="I115" t="s">
        <v>82</v>
      </c>
      <c r="J115" t="s">
        <v>48</v>
      </c>
      <c r="K115" t="s">
        <v>168</v>
      </c>
      <c r="L115" t="s">
        <v>58</v>
      </c>
      <c r="M115" t="s">
        <v>122</v>
      </c>
      <c r="N115">
        <v>7</v>
      </c>
      <c r="O115" t="s">
        <v>117</v>
      </c>
      <c r="P115" s="11">
        <v>6900</v>
      </c>
      <c r="Q115" t="s">
        <v>309</v>
      </c>
      <c r="R115" s="11">
        <f t="shared" si="2"/>
        <v>6900</v>
      </c>
      <c r="S115" t="str">
        <f t="shared" si="3"/>
        <v>One-Time</v>
      </c>
    </row>
    <row r="116" spans="1:19" ht="15" customHeight="1" x14ac:dyDescent="0.3">
      <c r="A116">
        <v>115</v>
      </c>
      <c r="B116" t="s">
        <v>310</v>
      </c>
      <c r="C116">
        <v>1246579</v>
      </c>
      <c r="D116" t="s">
        <v>114</v>
      </c>
      <c r="E116">
        <v>48</v>
      </c>
      <c r="F116" t="s">
        <v>76</v>
      </c>
      <c r="G116" s="10">
        <v>45429</v>
      </c>
      <c r="H116" t="s">
        <v>41</v>
      </c>
      <c r="I116" t="s">
        <v>82</v>
      </c>
      <c r="J116" t="s">
        <v>48</v>
      </c>
      <c r="K116" t="s">
        <v>168</v>
      </c>
      <c r="L116" t="s">
        <v>58</v>
      </c>
      <c r="M116" t="s">
        <v>122</v>
      </c>
      <c r="N116">
        <v>9</v>
      </c>
      <c r="O116" t="s">
        <v>117</v>
      </c>
      <c r="P116" s="11">
        <v>6900</v>
      </c>
      <c r="Q116" t="s">
        <v>311</v>
      </c>
      <c r="R116" s="11">
        <f t="shared" si="2"/>
        <v>6900</v>
      </c>
      <c r="S116" t="str">
        <f t="shared" si="3"/>
        <v>One-Time</v>
      </c>
    </row>
    <row r="117" spans="1:19" ht="15" customHeight="1" x14ac:dyDescent="0.3">
      <c r="A117">
        <v>116</v>
      </c>
      <c r="B117" t="s">
        <v>312</v>
      </c>
      <c r="C117">
        <v>6695683</v>
      </c>
      <c r="D117" t="s">
        <v>114</v>
      </c>
      <c r="E117">
        <v>30</v>
      </c>
      <c r="F117" t="s">
        <v>76</v>
      </c>
      <c r="G117" s="10">
        <v>45430</v>
      </c>
      <c r="H117" t="s">
        <v>41</v>
      </c>
      <c r="I117" t="s">
        <v>83</v>
      </c>
      <c r="J117" t="s">
        <v>48</v>
      </c>
      <c r="K117" t="s">
        <v>168</v>
      </c>
      <c r="L117" t="s">
        <v>58</v>
      </c>
      <c r="M117" t="s">
        <v>122</v>
      </c>
      <c r="N117">
        <v>3</v>
      </c>
      <c r="O117" t="s">
        <v>117</v>
      </c>
      <c r="P117" s="11">
        <v>6900</v>
      </c>
      <c r="Q117" t="s">
        <v>313</v>
      </c>
      <c r="R117" s="11">
        <f t="shared" si="2"/>
        <v>0</v>
      </c>
      <c r="S117" t="str">
        <f t="shared" si="3"/>
        <v>One-Time</v>
      </c>
    </row>
    <row r="118" spans="1:19" ht="15" customHeight="1" x14ac:dyDescent="0.3">
      <c r="A118">
        <v>117</v>
      </c>
      <c r="B118" t="s">
        <v>314</v>
      </c>
      <c r="C118">
        <v>1994186</v>
      </c>
      <c r="D118" t="s">
        <v>114</v>
      </c>
      <c r="E118">
        <v>71</v>
      </c>
      <c r="F118" t="s">
        <v>77</v>
      </c>
      <c r="G118" s="10">
        <v>45431</v>
      </c>
      <c r="H118" t="s">
        <v>41</v>
      </c>
      <c r="I118" t="s">
        <v>82</v>
      </c>
      <c r="J118" t="s">
        <v>48</v>
      </c>
      <c r="K118" t="s">
        <v>168</v>
      </c>
      <c r="L118" t="s">
        <v>58</v>
      </c>
      <c r="M118" t="s">
        <v>315</v>
      </c>
      <c r="N118">
        <v>32</v>
      </c>
      <c r="O118" t="s">
        <v>117</v>
      </c>
      <c r="P118" s="11">
        <v>6900</v>
      </c>
      <c r="Q118" t="s">
        <v>294</v>
      </c>
      <c r="R118" s="11">
        <f t="shared" si="2"/>
        <v>6900</v>
      </c>
      <c r="S118" t="str">
        <f t="shared" si="3"/>
        <v>One-Time</v>
      </c>
    </row>
    <row r="119" spans="1:19" ht="15" customHeight="1" x14ac:dyDescent="0.3">
      <c r="A119">
        <v>118</v>
      </c>
      <c r="B119" t="s">
        <v>316</v>
      </c>
      <c r="C119">
        <v>172471</v>
      </c>
      <c r="D119" t="s">
        <v>114</v>
      </c>
      <c r="E119">
        <v>41</v>
      </c>
      <c r="F119" t="s">
        <v>76</v>
      </c>
      <c r="G119" s="10">
        <v>45432</v>
      </c>
      <c r="H119" t="s">
        <v>41</v>
      </c>
      <c r="I119" t="s">
        <v>82</v>
      </c>
      <c r="J119" t="s">
        <v>48</v>
      </c>
      <c r="K119" t="s">
        <v>168</v>
      </c>
      <c r="L119" t="s">
        <v>58</v>
      </c>
      <c r="M119" t="s">
        <v>315</v>
      </c>
      <c r="N119">
        <v>65</v>
      </c>
      <c r="O119" t="s">
        <v>117</v>
      </c>
      <c r="P119" s="11">
        <v>6900</v>
      </c>
      <c r="Q119" t="s">
        <v>317</v>
      </c>
      <c r="R119" s="11">
        <f t="shared" si="2"/>
        <v>6900</v>
      </c>
      <c r="S119" t="str">
        <f t="shared" si="3"/>
        <v>One-Time</v>
      </c>
    </row>
    <row r="120" spans="1:19" ht="15" customHeight="1" x14ac:dyDescent="0.3">
      <c r="A120">
        <v>119</v>
      </c>
      <c r="B120" t="s">
        <v>318</v>
      </c>
      <c r="C120">
        <v>681598</v>
      </c>
      <c r="D120" t="s">
        <v>114</v>
      </c>
      <c r="E120">
        <v>28</v>
      </c>
      <c r="F120" t="s">
        <v>75</v>
      </c>
      <c r="G120" s="10">
        <v>45433</v>
      </c>
      <c r="H120" t="s">
        <v>41</v>
      </c>
      <c r="I120" t="s">
        <v>82</v>
      </c>
      <c r="J120" t="s">
        <v>48</v>
      </c>
      <c r="K120" t="s">
        <v>168</v>
      </c>
      <c r="L120" t="s">
        <v>58</v>
      </c>
      <c r="M120" t="s">
        <v>315</v>
      </c>
      <c r="N120">
        <v>4</v>
      </c>
      <c r="O120" t="s">
        <v>117</v>
      </c>
      <c r="P120" s="11">
        <v>6900</v>
      </c>
      <c r="Q120" t="s">
        <v>319</v>
      </c>
      <c r="R120" s="11">
        <f t="shared" si="2"/>
        <v>6900</v>
      </c>
      <c r="S120" t="str">
        <f t="shared" si="3"/>
        <v>One-Time</v>
      </c>
    </row>
    <row r="121" spans="1:19" ht="15" customHeight="1" x14ac:dyDescent="0.3">
      <c r="A121">
        <v>120</v>
      </c>
      <c r="B121" t="s">
        <v>320</v>
      </c>
      <c r="C121">
        <v>1388772</v>
      </c>
      <c r="D121" t="s">
        <v>114</v>
      </c>
      <c r="E121">
        <v>19</v>
      </c>
      <c r="F121" t="s">
        <v>75</v>
      </c>
      <c r="G121" s="10">
        <v>45434</v>
      </c>
      <c r="H121" t="s">
        <v>41</v>
      </c>
      <c r="I121" t="s">
        <v>82</v>
      </c>
      <c r="J121" t="s">
        <v>48</v>
      </c>
      <c r="K121" t="s">
        <v>168</v>
      </c>
      <c r="L121" t="s">
        <v>58</v>
      </c>
      <c r="M121" t="s">
        <v>315</v>
      </c>
      <c r="N121">
        <v>1</v>
      </c>
      <c r="O121" t="s">
        <v>117</v>
      </c>
      <c r="P121" s="11">
        <v>6900</v>
      </c>
      <c r="Q121" t="s">
        <v>174</v>
      </c>
      <c r="R121" s="11">
        <f t="shared" si="2"/>
        <v>6900</v>
      </c>
      <c r="S121" t="str">
        <f t="shared" si="3"/>
        <v>One-Time</v>
      </c>
    </row>
    <row r="122" spans="1:19" ht="15" customHeight="1" x14ac:dyDescent="0.3">
      <c r="A122">
        <v>121</v>
      </c>
      <c r="B122" t="s">
        <v>321</v>
      </c>
      <c r="C122">
        <v>3131740</v>
      </c>
      <c r="D122" t="s">
        <v>114</v>
      </c>
      <c r="E122">
        <v>25</v>
      </c>
      <c r="F122" t="s">
        <v>75</v>
      </c>
      <c r="G122" s="10">
        <v>45435</v>
      </c>
      <c r="H122" t="s">
        <v>41</v>
      </c>
      <c r="I122" t="s">
        <v>82</v>
      </c>
      <c r="J122" t="s">
        <v>48</v>
      </c>
      <c r="K122" t="s">
        <v>168</v>
      </c>
      <c r="L122" t="s">
        <v>58</v>
      </c>
      <c r="M122" t="s">
        <v>315</v>
      </c>
      <c r="N122">
        <v>47</v>
      </c>
      <c r="O122" t="s">
        <v>117</v>
      </c>
      <c r="P122" s="11">
        <v>6900</v>
      </c>
      <c r="Q122" t="s">
        <v>66</v>
      </c>
      <c r="R122" s="11">
        <f t="shared" si="2"/>
        <v>6900</v>
      </c>
      <c r="S122" t="str">
        <f t="shared" si="3"/>
        <v>One-Time</v>
      </c>
    </row>
    <row r="123" spans="1:19" ht="15" customHeight="1" x14ac:dyDescent="0.3">
      <c r="A123">
        <v>122</v>
      </c>
      <c r="B123" t="s">
        <v>322</v>
      </c>
      <c r="C123">
        <v>5496750</v>
      </c>
      <c r="D123" t="s">
        <v>114</v>
      </c>
      <c r="E123">
        <v>57</v>
      </c>
      <c r="F123" t="s">
        <v>77</v>
      </c>
      <c r="G123" s="10">
        <v>45436</v>
      </c>
      <c r="H123" t="s">
        <v>41</v>
      </c>
      <c r="I123" t="s">
        <v>82</v>
      </c>
      <c r="J123" t="s">
        <v>48</v>
      </c>
      <c r="K123" t="s">
        <v>182</v>
      </c>
      <c r="L123" t="s">
        <v>58</v>
      </c>
      <c r="M123" t="s">
        <v>315</v>
      </c>
      <c r="N123">
        <v>3</v>
      </c>
      <c r="O123" t="s">
        <v>117</v>
      </c>
      <c r="P123" s="11">
        <v>6900</v>
      </c>
      <c r="Q123" t="s">
        <v>323</v>
      </c>
      <c r="R123" s="11">
        <f t="shared" si="2"/>
        <v>6900</v>
      </c>
      <c r="S123" t="str">
        <f t="shared" si="3"/>
        <v>Repeat</v>
      </c>
    </row>
    <row r="124" spans="1:19" ht="15" customHeight="1" x14ac:dyDescent="0.3">
      <c r="A124">
        <v>123</v>
      </c>
      <c r="B124" t="s">
        <v>322</v>
      </c>
      <c r="C124">
        <v>5496750</v>
      </c>
      <c r="D124" t="s">
        <v>114</v>
      </c>
      <c r="E124">
        <v>73</v>
      </c>
      <c r="F124" t="s">
        <v>77</v>
      </c>
      <c r="G124" s="10">
        <v>45437</v>
      </c>
      <c r="H124" t="s">
        <v>41</v>
      </c>
      <c r="I124" t="s">
        <v>82</v>
      </c>
      <c r="J124" t="s">
        <v>48</v>
      </c>
      <c r="K124" t="s">
        <v>182</v>
      </c>
      <c r="L124" t="s">
        <v>58</v>
      </c>
      <c r="M124" t="s">
        <v>315</v>
      </c>
      <c r="N124">
        <v>4</v>
      </c>
      <c r="O124" t="s">
        <v>117</v>
      </c>
      <c r="P124" s="11">
        <v>6900</v>
      </c>
      <c r="Q124" t="s">
        <v>64</v>
      </c>
      <c r="R124" s="11">
        <f t="shared" si="2"/>
        <v>6900</v>
      </c>
      <c r="S124" t="str">
        <f t="shared" si="3"/>
        <v>Repeat</v>
      </c>
    </row>
    <row r="125" spans="1:19" ht="15" customHeight="1" x14ac:dyDescent="0.3">
      <c r="A125">
        <v>124</v>
      </c>
      <c r="B125" t="s">
        <v>324</v>
      </c>
      <c r="C125">
        <v>816846</v>
      </c>
      <c r="D125" t="s">
        <v>114</v>
      </c>
      <c r="E125">
        <v>50</v>
      </c>
      <c r="F125" t="s">
        <v>77</v>
      </c>
      <c r="G125" s="10">
        <v>45438</v>
      </c>
      <c r="H125" t="s">
        <v>41</v>
      </c>
      <c r="I125" t="s">
        <v>82</v>
      </c>
      <c r="J125" t="s">
        <v>48</v>
      </c>
      <c r="K125" t="s">
        <v>182</v>
      </c>
      <c r="L125" t="s">
        <v>58</v>
      </c>
      <c r="M125" t="s">
        <v>315</v>
      </c>
      <c r="N125">
        <v>4</v>
      </c>
      <c r="O125" t="s">
        <v>117</v>
      </c>
      <c r="P125" s="11">
        <v>6300</v>
      </c>
      <c r="Q125" t="s">
        <v>325</v>
      </c>
      <c r="R125" s="11">
        <f t="shared" si="2"/>
        <v>6300</v>
      </c>
      <c r="S125" t="str">
        <f t="shared" si="3"/>
        <v>One-Time</v>
      </c>
    </row>
    <row r="126" spans="1:19" ht="15" customHeight="1" x14ac:dyDescent="0.3">
      <c r="A126">
        <v>125</v>
      </c>
      <c r="B126" t="s">
        <v>326</v>
      </c>
      <c r="C126">
        <v>278400</v>
      </c>
      <c r="D126" t="s">
        <v>114</v>
      </c>
      <c r="E126">
        <v>31</v>
      </c>
      <c r="F126" t="s">
        <v>76</v>
      </c>
      <c r="G126" s="10">
        <v>45439</v>
      </c>
      <c r="H126" t="s">
        <v>41</v>
      </c>
      <c r="I126" t="s">
        <v>82</v>
      </c>
      <c r="J126" t="s">
        <v>48</v>
      </c>
      <c r="K126" t="s">
        <v>182</v>
      </c>
      <c r="L126" t="s">
        <v>58</v>
      </c>
      <c r="M126" t="s">
        <v>315</v>
      </c>
      <c r="N126">
        <v>9</v>
      </c>
      <c r="O126" t="s">
        <v>117</v>
      </c>
      <c r="P126" s="11">
        <v>6300</v>
      </c>
      <c r="Q126" t="s">
        <v>70</v>
      </c>
      <c r="R126" s="11">
        <f t="shared" si="2"/>
        <v>6300</v>
      </c>
      <c r="S126" t="str">
        <f t="shared" si="3"/>
        <v>One-Time</v>
      </c>
    </row>
    <row r="127" spans="1:19" ht="15" customHeight="1" x14ac:dyDescent="0.3">
      <c r="A127">
        <v>126</v>
      </c>
      <c r="B127" t="s">
        <v>327</v>
      </c>
      <c r="C127">
        <v>8079606</v>
      </c>
      <c r="D127" t="s">
        <v>114</v>
      </c>
      <c r="E127">
        <v>33</v>
      </c>
      <c r="F127" t="s">
        <v>76</v>
      </c>
      <c r="G127" s="10">
        <v>45440</v>
      </c>
      <c r="H127" t="s">
        <v>41</v>
      </c>
      <c r="I127" t="s">
        <v>82</v>
      </c>
      <c r="J127" t="s">
        <v>48</v>
      </c>
      <c r="K127" t="s">
        <v>182</v>
      </c>
      <c r="L127" t="s">
        <v>58</v>
      </c>
      <c r="M127" t="s">
        <v>315</v>
      </c>
      <c r="N127">
        <v>8</v>
      </c>
      <c r="O127" t="s">
        <v>117</v>
      </c>
      <c r="P127" s="11">
        <v>6300</v>
      </c>
      <c r="Q127" t="s">
        <v>64</v>
      </c>
      <c r="R127" s="11">
        <f t="shared" si="2"/>
        <v>6300</v>
      </c>
      <c r="S127" t="str">
        <f t="shared" si="3"/>
        <v>One-Time</v>
      </c>
    </row>
    <row r="128" spans="1:19" ht="15" customHeight="1" x14ac:dyDescent="0.3">
      <c r="A128">
        <v>127</v>
      </c>
      <c r="B128" t="s">
        <v>328</v>
      </c>
      <c r="C128">
        <v>4636514</v>
      </c>
      <c r="D128" t="s">
        <v>114</v>
      </c>
      <c r="E128">
        <v>31</v>
      </c>
      <c r="F128" t="s">
        <v>76</v>
      </c>
      <c r="G128" s="10">
        <v>45441</v>
      </c>
      <c r="H128" t="s">
        <v>41</v>
      </c>
      <c r="I128" t="s">
        <v>82</v>
      </c>
      <c r="J128" t="s">
        <v>48</v>
      </c>
      <c r="K128" t="s">
        <v>182</v>
      </c>
      <c r="L128" t="s">
        <v>58</v>
      </c>
      <c r="M128" t="s">
        <v>315</v>
      </c>
      <c r="N128">
        <v>3</v>
      </c>
      <c r="O128" t="s">
        <v>117</v>
      </c>
      <c r="P128" s="11">
        <v>6300</v>
      </c>
      <c r="Q128" t="s">
        <v>319</v>
      </c>
      <c r="R128" s="11">
        <f t="shared" si="2"/>
        <v>6300</v>
      </c>
      <c r="S128" t="str">
        <f t="shared" si="3"/>
        <v>One-Time</v>
      </c>
    </row>
    <row r="129" spans="1:19" ht="15" customHeight="1" x14ac:dyDescent="0.3">
      <c r="A129">
        <v>128</v>
      </c>
      <c r="B129" t="s">
        <v>329</v>
      </c>
      <c r="C129">
        <v>9847734</v>
      </c>
      <c r="D129" t="s">
        <v>114</v>
      </c>
      <c r="E129">
        <v>44</v>
      </c>
      <c r="F129" t="s">
        <v>76</v>
      </c>
      <c r="G129" s="10">
        <v>45442</v>
      </c>
      <c r="H129" t="s">
        <v>41</v>
      </c>
      <c r="I129" t="s">
        <v>82</v>
      </c>
      <c r="J129" t="s">
        <v>48</v>
      </c>
      <c r="K129" t="s">
        <v>182</v>
      </c>
      <c r="L129" t="s">
        <v>58</v>
      </c>
      <c r="M129" t="s">
        <v>315</v>
      </c>
      <c r="N129">
        <v>6</v>
      </c>
      <c r="O129" t="s">
        <v>117</v>
      </c>
      <c r="P129" s="11">
        <v>6300</v>
      </c>
      <c r="Q129" t="s">
        <v>325</v>
      </c>
      <c r="R129" s="11">
        <f t="shared" si="2"/>
        <v>6300</v>
      </c>
      <c r="S129" t="str">
        <f t="shared" si="3"/>
        <v>One-Time</v>
      </c>
    </row>
    <row r="130" spans="1:19" ht="15" customHeight="1" x14ac:dyDescent="0.3">
      <c r="A130">
        <v>129</v>
      </c>
      <c r="B130" t="s">
        <v>330</v>
      </c>
      <c r="C130">
        <v>8860022</v>
      </c>
      <c r="D130" t="s">
        <v>114</v>
      </c>
      <c r="E130">
        <v>26</v>
      </c>
      <c r="F130" t="s">
        <v>75</v>
      </c>
      <c r="G130" s="10">
        <v>45443</v>
      </c>
      <c r="H130" t="s">
        <v>41</v>
      </c>
      <c r="I130" t="s">
        <v>82</v>
      </c>
      <c r="J130" t="s">
        <v>48</v>
      </c>
      <c r="K130" t="s">
        <v>182</v>
      </c>
      <c r="L130" t="s">
        <v>58</v>
      </c>
      <c r="M130" t="s">
        <v>315</v>
      </c>
      <c r="N130">
        <v>9</v>
      </c>
      <c r="O130" t="s">
        <v>117</v>
      </c>
      <c r="P130" s="11">
        <v>6300</v>
      </c>
      <c r="Q130" t="s">
        <v>275</v>
      </c>
      <c r="R130" s="11">
        <f t="shared" ref="R130:R193" si="4">IF(I130="Delivered",P130,0)</f>
        <v>6300</v>
      </c>
      <c r="S130" t="str">
        <f t="shared" ref="S130:S193" si="5">IF(COUNTIF($C$2:$C$1501,C130)&gt;1,"Repeat","One-Time")</f>
        <v>One-Time</v>
      </c>
    </row>
    <row r="131" spans="1:19" ht="15" customHeight="1" x14ac:dyDescent="0.3">
      <c r="A131">
        <v>130</v>
      </c>
      <c r="B131" t="s">
        <v>331</v>
      </c>
      <c r="C131">
        <v>1669205</v>
      </c>
      <c r="D131" t="s">
        <v>114</v>
      </c>
      <c r="E131">
        <v>25</v>
      </c>
      <c r="F131" t="s">
        <v>75</v>
      </c>
      <c r="G131" s="10">
        <v>45444</v>
      </c>
      <c r="H131" t="s">
        <v>42</v>
      </c>
      <c r="I131" t="s">
        <v>82</v>
      </c>
      <c r="J131" t="s">
        <v>48</v>
      </c>
      <c r="K131" t="s">
        <v>184</v>
      </c>
      <c r="L131" t="s">
        <v>58</v>
      </c>
      <c r="M131" t="s">
        <v>315</v>
      </c>
      <c r="N131">
        <v>2</v>
      </c>
      <c r="O131" t="s">
        <v>117</v>
      </c>
      <c r="P131" s="11">
        <v>6300</v>
      </c>
      <c r="Q131" t="s">
        <v>332</v>
      </c>
      <c r="R131" s="11">
        <f t="shared" si="4"/>
        <v>6300</v>
      </c>
      <c r="S131" t="str">
        <f t="shared" si="5"/>
        <v>One-Time</v>
      </c>
    </row>
    <row r="132" spans="1:19" ht="15" customHeight="1" x14ac:dyDescent="0.3">
      <c r="A132">
        <v>131</v>
      </c>
      <c r="B132" t="s">
        <v>333</v>
      </c>
      <c r="C132">
        <v>6737238</v>
      </c>
      <c r="D132" t="s">
        <v>114</v>
      </c>
      <c r="E132">
        <v>49</v>
      </c>
      <c r="F132" t="s">
        <v>76</v>
      </c>
      <c r="G132" s="10">
        <v>45445</v>
      </c>
      <c r="H132" t="s">
        <v>42</v>
      </c>
      <c r="I132" t="s">
        <v>82</v>
      </c>
      <c r="J132" t="s">
        <v>48</v>
      </c>
      <c r="K132" t="s">
        <v>184</v>
      </c>
      <c r="L132" t="s">
        <v>58</v>
      </c>
      <c r="M132" t="s">
        <v>315</v>
      </c>
      <c r="N132">
        <v>5</v>
      </c>
      <c r="O132" t="s">
        <v>117</v>
      </c>
      <c r="P132" s="11">
        <v>6300</v>
      </c>
      <c r="Q132" t="s">
        <v>68</v>
      </c>
      <c r="R132" s="11">
        <f t="shared" si="4"/>
        <v>6300</v>
      </c>
      <c r="S132" t="str">
        <f t="shared" si="5"/>
        <v>One-Time</v>
      </c>
    </row>
    <row r="133" spans="1:19" ht="15" customHeight="1" x14ac:dyDescent="0.3">
      <c r="A133">
        <v>132</v>
      </c>
      <c r="B133" t="s">
        <v>334</v>
      </c>
      <c r="C133">
        <v>9605076</v>
      </c>
      <c r="D133" t="s">
        <v>114</v>
      </c>
      <c r="E133">
        <v>59</v>
      </c>
      <c r="F133" t="s">
        <v>77</v>
      </c>
      <c r="G133" s="10">
        <v>45446</v>
      </c>
      <c r="H133" t="s">
        <v>42</v>
      </c>
      <c r="I133" t="s">
        <v>82</v>
      </c>
      <c r="J133" t="s">
        <v>48</v>
      </c>
      <c r="K133" t="s">
        <v>184</v>
      </c>
      <c r="L133" t="s">
        <v>58</v>
      </c>
      <c r="M133" t="s">
        <v>315</v>
      </c>
      <c r="N133">
        <v>6</v>
      </c>
      <c r="O133" t="s">
        <v>117</v>
      </c>
      <c r="P133" s="11">
        <v>6300</v>
      </c>
      <c r="Q133" t="s">
        <v>335</v>
      </c>
      <c r="R133" s="11">
        <f t="shared" si="4"/>
        <v>6300</v>
      </c>
      <c r="S133" t="str">
        <f t="shared" si="5"/>
        <v>One-Time</v>
      </c>
    </row>
    <row r="134" spans="1:19" ht="15" customHeight="1" x14ac:dyDescent="0.3">
      <c r="A134">
        <v>133</v>
      </c>
      <c r="B134" t="s">
        <v>336</v>
      </c>
      <c r="C134">
        <v>9542566</v>
      </c>
      <c r="D134" t="s">
        <v>114</v>
      </c>
      <c r="E134">
        <v>21</v>
      </c>
      <c r="F134" t="s">
        <v>75</v>
      </c>
      <c r="G134" s="10">
        <v>45447</v>
      </c>
      <c r="H134" t="s">
        <v>42</v>
      </c>
      <c r="I134" t="s">
        <v>82</v>
      </c>
      <c r="J134" t="s">
        <v>48</v>
      </c>
      <c r="K134" t="s">
        <v>184</v>
      </c>
      <c r="L134" t="s">
        <v>58</v>
      </c>
      <c r="M134" t="s">
        <v>315</v>
      </c>
      <c r="N134">
        <v>9</v>
      </c>
      <c r="O134" t="s">
        <v>117</v>
      </c>
      <c r="P134" s="11">
        <v>6300</v>
      </c>
      <c r="Q134" t="s">
        <v>337</v>
      </c>
      <c r="R134" s="11">
        <f t="shared" si="4"/>
        <v>6300</v>
      </c>
      <c r="S134" t="str">
        <f t="shared" si="5"/>
        <v>One-Time</v>
      </c>
    </row>
    <row r="135" spans="1:19" ht="15" customHeight="1" x14ac:dyDescent="0.3">
      <c r="A135">
        <v>134</v>
      </c>
      <c r="B135" t="s">
        <v>338</v>
      </c>
      <c r="C135">
        <v>1540604</v>
      </c>
      <c r="D135" t="s">
        <v>114</v>
      </c>
      <c r="E135">
        <v>31</v>
      </c>
      <c r="F135" t="s">
        <v>76</v>
      </c>
      <c r="G135" s="10">
        <v>45448</v>
      </c>
      <c r="H135" t="s">
        <v>42</v>
      </c>
      <c r="I135" t="s">
        <v>82</v>
      </c>
      <c r="J135" t="s">
        <v>48</v>
      </c>
      <c r="K135" t="s">
        <v>184</v>
      </c>
      <c r="L135" t="s">
        <v>58</v>
      </c>
      <c r="M135" t="s">
        <v>315</v>
      </c>
      <c r="N135">
        <v>7</v>
      </c>
      <c r="O135" t="s">
        <v>117</v>
      </c>
      <c r="P135" s="11">
        <v>6300</v>
      </c>
      <c r="Q135" t="s">
        <v>63</v>
      </c>
      <c r="R135" s="11">
        <f t="shared" si="4"/>
        <v>6300</v>
      </c>
      <c r="S135" t="str">
        <f t="shared" si="5"/>
        <v>One-Time</v>
      </c>
    </row>
    <row r="136" spans="1:19" ht="15" customHeight="1" x14ac:dyDescent="0.3">
      <c r="A136">
        <v>135</v>
      </c>
      <c r="B136" t="s">
        <v>339</v>
      </c>
      <c r="C136">
        <v>9367631</v>
      </c>
      <c r="D136" t="s">
        <v>114</v>
      </c>
      <c r="E136">
        <v>34</v>
      </c>
      <c r="F136" t="s">
        <v>76</v>
      </c>
      <c r="G136" s="10">
        <v>45449</v>
      </c>
      <c r="H136" t="s">
        <v>42</v>
      </c>
      <c r="I136" t="s">
        <v>82</v>
      </c>
      <c r="J136" t="s">
        <v>48</v>
      </c>
      <c r="K136" t="s">
        <v>184</v>
      </c>
      <c r="L136" t="s">
        <v>58</v>
      </c>
      <c r="M136" t="s">
        <v>315</v>
      </c>
      <c r="N136">
        <v>81</v>
      </c>
      <c r="O136" t="s">
        <v>117</v>
      </c>
      <c r="P136" s="11">
        <v>6300</v>
      </c>
      <c r="Q136" t="s">
        <v>223</v>
      </c>
      <c r="R136" s="11">
        <f t="shared" si="4"/>
        <v>6300</v>
      </c>
      <c r="S136" t="str">
        <f t="shared" si="5"/>
        <v>One-Time</v>
      </c>
    </row>
    <row r="137" spans="1:19" ht="15" customHeight="1" x14ac:dyDescent="0.3">
      <c r="A137">
        <v>136</v>
      </c>
      <c r="B137" t="s">
        <v>340</v>
      </c>
      <c r="C137">
        <v>595996</v>
      </c>
      <c r="D137" t="s">
        <v>114</v>
      </c>
      <c r="E137">
        <v>72</v>
      </c>
      <c r="F137" t="s">
        <v>77</v>
      </c>
      <c r="G137" s="10">
        <v>45450</v>
      </c>
      <c r="H137" t="s">
        <v>42</v>
      </c>
      <c r="I137" t="s">
        <v>82</v>
      </c>
      <c r="J137" t="s">
        <v>48</v>
      </c>
      <c r="K137" t="s">
        <v>184</v>
      </c>
      <c r="L137" t="s">
        <v>58</v>
      </c>
      <c r="M137" t="s">
        <v>315</v>
      </c>
      <c r="N137">
        <v>24</v>
      </c>
      <c r="O137" t="s">
        <v>117</v>
      </c>
      <c r="P137" s="11">
        <v>6300</v>
      </c>
      <c r="Q137" t="s">
        <v>341</v>
      </c>
      <c r="R137" s="11">
        <f t="shared" si="4"/>
        <v>6300</v>
      </c>
      <c r="S137" t="str">
        <f t="shared" si="5"/>
        <v>One-Time</v>
      </c>
    </row>
    <row r="138" spans="1:19" ht="15" customHeight="1" x14ac:dyDescent="0.3">
      <c r="A138">
        <v>137</v>
      </c>
      <c r="B138" t="s">
        <v>342</v>
      </c>
      <c r="C138">
        <v>8256896</v>
      </c>
      <c r="D138" t="s">
        <v>114</v>
      </c>
      <c r="E138">
        <v>22</v>
      </c>
      <c r="F138" t="s">
        <v>75</v>
      </c>
      <c r="G138" s="10">
        <v>45451</v>
      </c>
      <c r="H138" t="s">
        <v>42</v>
      </c>
      <c r="I138" t="s">
        <v>82</v>
      </c>
      <c r="J138" t="s">
        <v>48</v>
      </c>
      <c r="K138" t="s">
        <v>184</v>
      </c>
      <c r="L138" t="s">
        <v>59</v>
      </c>
      <c r="M138" t="s">
        <v>315</v>
      </c>
      <c r="N138">
        <v>56</v>
      </c>
      <c r="O138" t="s">
        <v>117</v>
      </c>
      <c r="P138" s="11">
        <v>6600</v>
      </c>
      <c r="Q138" t="s">
        <v>250</v>
      </c>
      <c r="R138" s="11">
        <f t="shared" si="4"/>
        <v>6600</v>
      </c>
      <c r="S138" t="str">
        <f t="shared" si="5"/>
        <v>One-Time</v>
      </c>
    </row>
    <row r="139" spans="1:19" ht="15" customHeight="1" x14ac:dyDescent="0.3">
      <c r="A139">
        <v>138</v>
      </c>
      <c r="B139" t="s">
        <v>343</v>
      </c>
      <c r="C139">
        <v>1064158</v>
      </c>
      <c r="D139" t="s">
        <v>114</v>
      </c>
      <c r="E139">
        <v>35</v>
      </c>
      <c r="F139" t="s">
        <v>76</v>
      </c>
      <c r="G139" s="10">
        <v>45452</v>
      </c>
      <c r="H139" t="s">
        <v>42</v>
      </c>
      <c r="I139" t="s">
        <v>82</v>
      </c>
      <c r="J139" t="s">
        <v>48</v>
      </c>
      <c r="K139" t="s">
        <v>184</v>
      </c>
      <c r="L139" t="s">
        <v>59</v>
      </c>
      <c r="M139" t="s">
        <v>315</v>
      </c>
      <c r="N139">
        <v>55</v>
      </c>
      <c r="O139" t="s">
        <v>117</v>
      </c>
      <c r="P139" s="11">
        <v>6600</v>
      </c>
      <c r="Q139" t="s">
        <v>344</v>
      </c>
      <c r="R139" s="11">
        <f t="shared" si="4"/>
        <v>6600</v>
      </c>
      <c r="S139" t="str">
        <f t="shared" si="5"/>
        <v>One-Time</v>
      </c>
    </row>
    <row r="140" spans="1:19" ht="15" customHeight="1" x14ac:dyDescent="0.3">
      <c r="A140">
        <v>139</v>
      </c>
      <c r="B140" t="s">
        <v>345</v>
      </c>
      <c r="C140">
        <v>2727693</v>
      </c>
      <c r="D140" t="s">
        <v>114</v>
      </c>
      <c r="E140">
        <v>31</v>
      </c>
      <c r="F140" t="s">
        <v>76</v>
      </c>
      <c r="G140" s="10">
        <v>45453</v>
      </c>
      <c r="H140" t="s">
        <v>42</v>
      </c>
      <c r="I140" t="s">
        <v>82</v>
      </c>
      <c r="J140" t="s">
        <v>48</v>
      </c>
      <c r="K140" t="s">
        <v>184</v>
      </c>
      <c r="L140" t="s">
        <v>59</v>
      </c>
      <c r="M140" t="s">
        <v>315</v>
      </c>
      <c r="N140">
        <v>5</v>
      </c>
      <c r="O140" t="s">
        <v>117</v>
      </c>
      <c r="P140" s="11">
        <v>6600</v>
      </c>
      <c r="Q140" t="s">
        <v>346</v>
      </c>
      <c r="R140" s="11">
        <f t="shared" si="4"/>
        <v>6600</v>
      </c>
      <c r="S140" t="str">
        <f t="shared" si="5"/>
        <v>One-Time</v>
      </c>
    </row>
    <row r="141" spans="1:19" ht="15" customHeight="1" x14ac:dyDescent="0.3">
      <c r="A141">
        <v>140</v>
      </c>
      <c r="B141" t="s">
        <v>347</v>
      </c>
      <c r="C141">
        <v>6844452</v>
      </c>
      <c r="D141" t="s">
        <v>114</v>
      </c>
      <c r="E141">
        <v>34</v>
      </c>
      <c r="F141" t="s">
        <v>76</v>
      </c>
      <c r="G141" s="10">
        <v>45454</v>
      </c>
      <c r="H141" t="s">
        <v>42</v>
      </c>
      <c r="I141" t="s">
        <v>85</v>
      </c>
      <c r="J141" t="s">
        <v>48</v>
      </c>
      <c r="K141" t="s">
        <v>184</v>
      </c>
      <c r="L141" t="s">
        <v>59</v>
      </c>
      <c r="M141" t="s">
        <v>315</v>
      </c>
      <c r="N141">
        <v>4</v>
      </c>
      <c r="O141" t="s">
        <v>117</v>
      </c>
      <c r="P141" s="11">
        <v>6600</v>
      </c>
      <c r="Q141" t="s">
        <v>348</v>
      </c>
      <c r="R141" s="11">
        <f t="shared" si="4"/>
        <v>0</v>
      </c>
      <c r="S141" t="str">
        <f t="shared" si="5"/>
        <v>One-Time</v>
      </c>
    </row>
    <row r="142" spans="1:19" ht="15" customHeight="1" x14ac:dyDescent="0.3">
      <c r="A142">
        <v>141</v>
      </c>
      <c r="B142" t="s">
        <v>349</v>
      </c>
      <c r="C142">
        <v>6908439</v>
      </c>
      <c r="D142" t="s">
        <v>114</v>
      </c>
      <c r="E142">
        <v>46</v>
      </c>
      <c r="F142" t="s">
        <v>76</v>
      </c>
      <c r="G142" s="10">
        <v>45455</v>
      </c>
      <c r="H142" t="s">
        <v>42</v>
      </c>
      <c r="I142" t="s">
        <v>84</v>
      </c>
      <c r="J142" t="s">
        <v>48</v>
      </c>
      <c r="K142" t="s">
        <v>184</v>
      </c>
      <c r="L142" t="s">
        <v>59</v>
      </c>
      <c r="M142" t="s">
        <v>315</v>
      </c>
      <c r="N142">
        <v>8</v>
      </c>
      <c r="O142" t="s">
        <v>117</v>
      </c>
      <c r="P142" s="11">
        <v>6500</v>
      </c>
      <c r="Q142" t="s">
        <v>350</v>
      </c>
      <c r="R142" s="11">
        <f t="shared" si="4"/>
        <v>0</v>
      </c>
      <c r="S142" t="str">
        <f t="shared" si="5"/>
        <v>One-Time</v>
      </c>
    </row>
    <row r="143" spans="1:19" ht="15" customHeight="1" x14ac:dyDescent="0.3">
      <c r="A143">
        <v>142</v>
      </c>
      <c r="B143" t="s">
        <v>351</v>
      </c>
      <c r="C143">
        <v>9626742</v>
      </c>
      <c r="D143" t="s">
        <v>114</v>
      </c>
      <c r="E143">
        <v>63</v>
      </c>
      <c r="F143" t="s">
        <v>77</v>
      </c>
      <c r="G143" s="10">
        <v>45456</v>
      </c>
      <c r="H143" t="s">
        <v>42</v>
      </c>
      <c r="I143" t="s">
        <v>82</v>
      </c>
      <c r="J143" t="s">
        <v>48</v>
      </c>
      <c r="K143" t="s">
        <v>190</v>
      </c>
      <c r="L143" t="s">
        <v>59</v>
      </c>
      <c r="M143" t="s">
        <v>315</v>
      </c>
      <c r="N143">
        <v>7</v>
      </c>
      <c r="O143" t="s">
        <v>117</v>
      </c>
      <c r="P143" s="11">
        <v>6500</v>
      </c>
      <c r="Q143" t="s">
        <v>352</v>
      </c>
      <c r="R143" s="11">
        <f t="shared" si="4"/>
        <v>6500</v>
      </c>
      <c r="S143" t="str">
        <f t="shared" si="5"/>
        <v>One-Time</v>
      </c>
    </row>
    <row r="144" spans="1:19" ht="15" customHeight="1" x14ac:dyDescent="0.3">
      <c r="A144">
        <v>143</v>
      </c>
      <c r="B144" t="s">
        <v>353</v>
      </c>
      <c r="C144">
        <v>9383537</v>
      </c>
      <c r="D144" t="s">
        <v>114</v>
      </c>
      <c r="E144">
        <v>33</v>
      </c>
      <c r="F144" t="s">
        <v>76</v>
      </c>
      <c r="G144" s="10">
        <v>45457</v>
      </c>
      <c r="H144" t="s">
        <v>42</v>
      </c>
      <c r="I144" t="s">
        <v>82</v>
      </c>
      <c r="J144" t="s">
        <v>48</v>
      </c>
      <c r="K144" t="s">
        <v>190</v>
      </c>
      <c r="L144" t="s">
        <v>59</v>
      </c>
      <c r="M144" t="s">
        <v>315</v>
      </c>
      <c r="N144">
        <v>9</v>
      </c>
      <c r="O144" t="s">
        <v>117</v>
      </c>
      <c r="P144" s="11">
        <v>6500</v>
      </c>
      <c r="Q144" t="s">
        <v>354</v>
      </c>
      <c r="R144" s="11">
        <f t="shared" si="4"/>
        <v>6500</v>
      </c>
      <c r="S144" t="str">
        <f t="shared" si="5"/>
        <v>One-Time</v>
      </c>
    </row>
    <row r="145" spans="1:19" ht="15" customHeight="1" x14ac:dyDescent="0.3">
      <c r="A145">
        <v>144</v>
      </c>
      <c r="B145" t="s">
        <v>355</v>
      </c>
      <c r="C145">
        <v>6048785</v>
      </c>
      <c r="D145" t="s">
        <v>114</v>
      </c>
      <c r="E145">
        <v>58</v>
      </c>
      <c r="F145" t="s">
        <v>77</v>
      </c>
      <c r="G145" s="10">
        <v>45458</v>
      </c>
      <c r="H145" t="s">
        <v>42</v>
      </c>
      <c r="I145" t="s">
        <v>82</v>
      </c>
      <c r="J145" t="s">
        <v>48</v>
      </c>
      <c r="K145" t="s">
        <v>190</v>
      </c>
      <c r="L145" t="s">
        <v>59</v>
      </c>
      <c r="M145" t="s">
        <v>315</v>
      </c>
      <c r="N145">
        <v>3</v>
      </c>
      <c r="O145" t="s">
        <v>117</v>
      </c>
      <c r="P145" s="11">
        <v>6500</v>
      </c>
      <c r="Q145" t="s">
        <v>62</v>
      </c>
      <c r="R145" s="11">
        <f t="shared" si="4"/>
        <v>6500</v>
      </c>
      <c r="S145" t="str">
        <f t="shared" si="5"/>
        <v>One-Time</v>
      </c>
    </row>
    <row r="146" spans="1:19" ht="15" customHeight="1" x14ac:dyDescent="0.3">
      <c r="A146">
        <v>145</v>
      </c>
      <c r="B146" t="s">
        <v>356</v>
      </c>
      <c r="C146">
        <v>1040945</v>
      </c>
      <c r="D146" t="s">
        <v>114</v>
      </c>
      <c r="E146">
        <v>27</v>
      </c>
      <c r="F146" t="s">
        <v>75</v>
      </c>
      <c r="G146" s="10">
        <v>45459</v>
      </c>
      <c r="H146" t="s">
        <v>42</v>
      </c>
      <c r="I146" t="s">
        <v>82</v>
      </c>
      <c r="J146" t="s">
        <v>48</v>
      </c>
      <c r="K146" t="s">
        <v>190</v>
      </c>
      <c r="L146" t="s">
        <v>59</v>
      </c>
      <c r="M146" t="s">
        <v>315</v>
      </c>
      <c r="N146">
        <v>32</v>
      </c>
      <c r="O146" t="s">
        <v>117</v>
      </c>
      <c r="P146" s="11">
        <v>6500</v>
      </c>
      <c r="Q146" t="s">
        <v>357</v>
      </c>
      <c r="R146" s="11">
        <f t="shared" si="4"/>
        <v>6500</v>
      </c>
      <c r="S146" t="str">
        <f t="shared" si="5"/>
        <v>One-Time</v>
      </c>
    </row>
    <row r="147" spans="1:19" ht="15" customHeight="1" x14ac:dyDescent="0.3">
      <c r="A147">
        <v>146</v>
      </c>
      <c r="B147" t="s">
        <v>358</v>
      </c>
      <c r="C147">
        <v>8224545</v>
      </c>
      <c r="D147" t="s">
        <v>114</v>
      </c>
      <c r="E147">
        <v>24</v>
      </c>
      <c r="F147" t="s">
        <v>75</v>
      </c>
      <c r="G147" s="10">
        <v>45460</v>
      </c>
      <c r="H147" t="s">
        <v>42</v>
      </c>
      <c r="I147" t="s">
        <v>82</v>
      </c>
      <c r="J147" t="s">
        <v>48</v>
      </c>
      <c r="K147" t="s">
        <v>190</v>
      </c>
      <c r="L147" t="s">
        <v>59</v>
      </c>
      <c r="M147" t="s">
        <v>315</v>
      </c>
      <c r="N147">
        <v>65</v>
      </c>
      <c r="O147" t="s">
        <v>117</v>
      </c>
      <c r="P147" s="11">
        <v>6500</v>
      </c>
      <c r="Q147" t="s">
        <v>359</v>
      </c>
      <c r="R147" s="11">
        <f t="shared" si="4"/>
        <v>6500</v>
      </c>
      <c r="S147" t="str">
        <f t="shared" si="5"/>
        <v>One-Time</v>
      </c>
    </row>
    <row r="148" spans="1:19" ht="15" customHeight="1" x14ac:dyDescent="0.3">
      <c r="A148">
        <v>147</v>
      </c>
      <c r="B148" t="s">
        <v>360</v>
      </c>
      <c r="C148">
        <v>8391201</v>
      </c>
      <c r="D148" t="s">
        <v>114</v>
      </c>
      <c r="E148">
        <v>45</v>
      </c>
      <c r="F148" t="s">
        <v>76</v>
      </c>
      <c r="G148" s="10">
        <v>45461</v>
      </c>
      <c r="H148" t="s">
        <v>42</v>
      </c>
      <c r="I148" t="s">
        <v>82</v>
      </c>
      <c r="J148" t="s">
        <v>48</v>
      </c>
      <c r="K148" t="s">
        <v>190</v>
      </c>
      <c r="L148" t="s">
        <v>59</v>
      </c>
      <c r="M148" t="s">
        <v>116</v>
      </c>
      <c r="N148">
        <v>4</v>
      </c>
      <c r="O148" t="s">
        <v>117</v>
      </c>
      <c r="P148" s="11">
        <v>6500</v>
      </c>
      <c r="Q148" t="s">
        <v>62</v>
      </c>
      <c r="R148" s="11">
        <f t="shared" si="4"/>
        <v>6500</v>
      </c>
      <c r="S148" t="str">
        <f t="shared" si="5"/>
        <v>One-Time</v>
      </c>
    </row>
    <row r="149" spans="1:19" ht="15" customHeight="1" x14ac:dyDescent="0.3">
      <c r="A149">
        <v>148</v>
      </c>
      <c r="B149" t="s">
        <v>361</v>
      </c>
      <c r="C149">
        <v>2036568</v>
      </c>
      <c r="D149" t="s">
        <v>114</v>
      </c>
      <c r="E149">
        <v>22</v>
      </c>
      <c r="F149" t="s">
        <v>75</v>
      </c>
      <c r="G149" s="10">
        <v>45462</v>
      </c>
      <c r="H149" t="s">
        <v>42</v>
      </c>
      <c r="I149" t="s">
        <v>82</v>
      </c>
      <c r="J149" t="s">
        <v>48</v>
      </c>
      <c r="K149" t="s">
        <v>190</v>
      </c>
      <c r="L149" t="s">
        <v>59</v>
      </c>
      <c r="M149" t="s">
        <v>116</v>
      </c>
      <c r="N149">
        <v>1</v>
      </c>
      <c r="O149" t="s">
        <v>117</v>
      </c>
      <c r="P149" s="11">
        <v>7500</v>
      </c>
      <c r="Q149" t="s">
        <v>200</v>
      </c>
      <c r="R149" s="11">
        <f t="shared" si="4"/>
        <v>7500</v>
      </c>
      <c r="S149" t="str">
        <f t="shared" si="5"/>
        <v>One-Time</v>
      </c>
    </row>
    <row r="150" spans="1:19" ht="15" customHeight="1" x14ac:dyDescent="0.3">
      <c r="A150">
        <v>149</v>
      </c>
      <c r="B150" t="s">
        <v>362</v>
      </c>
      <c r="C150">
        <v>131231</v>
      </c>
      <c r="D150" t="s">
        <v>114</v>
      </c>
      <c r="E150">
        <v>42</v>
      </c>
      <c r="F150" t="s">
        <v>76</v>
      </c>
      <c r="G150" s="10">
        <v>45463</v>
      </c>
      <c r="H150" t="s">
        <v>42</v>
      </c>
      <c r="I150" t="s">
        <v>85</v>
      </c>
      <c r="J150" t="s">
        <v>48</v>
      </c>
      <c r="K150" t="s">
        <v>190</v>
      </c>
      <c r="L150" t="s">
        <v>59</v>
      </c>
      <c r="M150" t="s">
        <v>116</v>
      </c>
      <c r="N150">
        <v>47</v>
      </c>
      <c r="O150" t="s">
        <v>117</v>
      </c>
      <c r="P150" s="11">
        <v>7500</v>
      </c>
      <c r="Q150" t="s">
        <v>62</v>
      </c>
      <c r="R150" s="11">
        <f t="shared" si="4"/>
        <v>0</v>
      </c>
      <c r="S150" t="str">
        <f t="shared" si="5"/>
        <v>Repeat</v>
      </c>
    </row>
    <row r="151" spans="1:19" ht="15" customHeight="1" x14ac:dyDescent="0.3">
      <c r="A151">
        <v>150</v>
      </c>
      <c r="B151" t="s">
        <v>362</v>
      </c>
      <c r="C151">
        <v>131231</v>
      </c>
      <c r="D151" t="s">
        <v>114</v>
      </c>
      <c r="E151">
        <v>18</v>
      </c>
      <c r="F151" t="s">
        <v>75</v>
      </c>
      <c r="G151" s="10">
        <v>45464</v>
      </c>
      <c r="H151" t="s">
        <v>42</v>
      </c>
      <c r="I151" t="s">
        <v>85</v>
      </c>
      <c r="J151" t="s">
        <v>48</v>
      </c>
      <c r="K151" t="s">
        <v>190</v>
      </c>
      <c r="L151" t="s">
        <v>59</v>
      </c>
      <c r="M151" t="s">
        <v>116</v>
      </c>
      <c r="N151">
        <v>9</v>
      </c>
      <c r="O151" t="s">
        <v>117</v>
      </c>
      <c r="P151" s="11">
        <v>7500</v>
      </c>
      <c r="Q151" t="s">
        <v>69</v>
      </c>
      <c r="R151" s="11">
        <f t="shared" si="4"/>
        <v>0</v>
      </c>
      <c r="S151" t="str">
        <f t="shared" si="5"/>
        <v>Repeat</v>
      </c>
    </row>
    <row r="152" spans="1:19" ht="15" customHeight="1" x14ac:dyDescent="0.3">
      <c r="A152">
        <v>151</v>
      </c>
      <c r="B152" t="s">
        <v>363</v>
      </c>
      <c r="C152">
        <v>5387048</v>
      </c>
      <c r="D152" t="s">
        <v>114</v>
      </c>
      <c r="E152">
        <v>55</v>
      </c>
      <c r="F152" t="s">
        <v>77</v>
      </c>
      <c r="G152" s="10">
        <v>45465</v>
      </c>
      <c r="H152" t="s">
        <v>42</v>
      </c>
      <c r="I152" t="s">
        <v>82</v>
      </c>
      <c r="J152" t="s">
        <v>48</v>
      </c>
      <c r="K152" t="s">
        <v>190</v>
      </c>
      <c r="L152" t="s">
        <v>59</v>
      </c>
      <c r="M152" t="s">
        <v>116</v>
      </c>
      <c r="N152">
        <v>7</v>
      </c>
      <c r="O152" t="s">
        <v>117</v>
      </c>
      <c r="P152" s="11">
        <v>7500</v>
      </c>
      <c r="Q152" t="s">
        <v>300</v>
      </c>
      <c r="R152" s="11">
        <f t="shared" si="4"/>
        <v>7500</v>
      </c>
      <c r="S152" t="str">
        <f t="shared" si="5"/>
        <v>One-Time</v>
      </c>
    </row>
    <row r="153" spans="1:19" ht="15" customHeight="1" x14ac:dyDescent="0.3">
      <c r="A153">
        <v>152</v>
      </c>
      <c r="B153" t="s">
        <v>364</v>
      </c>
      <c r="C153">
        <v>4700322</v>
      </c>
      <c r="D153" t="s">
        <v>114</v>
      </c>
      <c r="E153">
        <v>25</v>
      </c>
      <c r="F153" t="s">
        <v>75</v>
      </c>
      <c r="G153" s="10">
        <v>45466</v>
      </c>
      <c r="H153" t="s">
        <v>42</v>
      </c>
      <c r="I153" t="s">
        <v>85</v>
      </c>
      <c r="J153" t="s">
        <v>48</v>
      </c>
      <c r="K153" t="s">
        <v>190</v>
      </c>
      <c r="L153" t="s">
        <v>59</v>
      </c>
      <c r="M153" t="s">
        <v>116</v>
      </c>
      <c r="N153">
        <v>6</v>
      </c>
      <c r="O153" t="s">
        <v>117</v>
      </c>
      <c r="P153" s="11">
        <v>7500</v>
      </c>
      <c r="Q153" t="s">
        <v>307</v>
      </c>
      <c r="R153" s="11">
        <f t="shared" si="4"/>
        <v>0</v>
      </c>
      <c r="S153" t="str">
        <f t="shared" si="5"/>
        <v>One-Time</v>
      </c>
    </row>
    <row r="154" spans="1:19" ht="15" customHeight="1" x14ac:dyDescent="0.3">
      <c r="A154">
        <v>153</v>
      </c>
      <c r="B154" t="s">
        <v>365</v>
      </c>
      <c r="C154">
        <v>4774074</v>
      </c>
      <c r="D154" t="s">
        <v>114</v>
      </c>
      <c r="E154">
        <v>30</v>
      </c>
      <c r="F154" t="s">
        <v>76</v>
      </c>
      <c r="G154" s="10">
        <v>45467</v>
      </c>
      <c r="H154" t="s">
        <v>42</v>
      </c>
      <c r="I154" t="s">
        <v>82</v>
      </c>
      <c r="J154" t="s">
        <v>48</v>
      </c>
      <c r="K154" t="s">
        <v>190</v>
      </c>
      <c r="L154" t="s">
        <v>59</v>
      </c>
      <c r="M154" t="s">
        <v>116</v>
      </c>
      <c r="N154">
        <v>2</v>
      </c>
      <c r="O154" t="s">
        <v>117</v>
      </c>
      <c r="P154" s="11">
        <v>7500</v>
      </c>
      <c r="Q154" t="s">
        <v>69</v>
      </c>
      <c r="R154" s="11">
        <f t="shared" si="4"/>
        <v>7500</v>
      </c>
      <c r="S154" t="str">
        <f t="shared" si="5"/>
        <v>One-Time</v>
      </c>
    </row>
    <row r="155" spans="1:19" ht="15" customHeight="1" x14ac:dyDescent="0.3">
      <c r="A155">
        <v>154</v>
      </c>
      <c r="B155" t="s">
        <v>366</v>
      </c>
      <c r="C155">
        <v>4236224</v>
      </c>
      <c r="D155" t="s">
        <v>114</v>
      </c>
      <c r="E155">
        <v>46</v>
      </c>
      <c r="F155" t="s">
        <v>76</v>
      </c>
      <c r="G155" s="10">
        <v>45468</v>
      </c>
      <c r="H155" t="s">
        <v>42</v>
      </c>
      <c r="I155" t="s">
        <v>82</v>
      </c>
      <c r="J155" t="s">
        <v>48</v>
      </c>
      <c r="K155" t="s">
        <v>190</v>
      </c>
      <c r="L155" t="s">
        <v>59</v>
      </c>
      <c r="M155" t="s">
        <v>116</v>
      </c>
      <c r="N155">
        <v>8</v>
      </c>
      <c r="O155" t="s">
        <v>117</v>
      </c>
      <c r="P155" s="11">
        <v>7500</v>
      </c>
      <c r="Q155" t="s">
        <v>71</v>
      </c>
      <c r="R155" s="11">
        <f t="shared" si="4"/>
        <v>7500</v>
      </c>
      <c r="S155" t="str">
        <f t="shared" si="5"/>
        <v>One-Time</v>
      </c>
    </row>
    <row r="156" spans="1:19" ht="15" customHeight="1" x14ac:dyDescent="0.3">
      <c r="A156">
        <v>155</v>
      </c>
      <c r="B156" t="s">
        <v>367</v>
      </c>
      <c r="C156">
        <v>9698056</v>
      </c>
      <c r="D156" t="s">
        <v>114</v>
      </c>
      <c r="E156">
        <v>27</v>
      </c>
      <c r="F156" t="s">
        <v>75</v>
      </c>
      <c r="G156" s="10">
        <v>45469</v>
      </c>
      <c r="H156" t="s">
        <v>42</v>
      </c>
      <c r="I156" t="s">
        <v>82</v>
      </c>
      <c r="J156" t="s">
        <v>48</v>
      </c>
      <c r="K156" t="s">
        <v>190</v>
      </c>
      <c r="L156" t="s">
        <v>59</v>
      </c>
      <c r="M156" t="s">
        <v>116</v>
      </c>
      <c r="N156">
        <v>4</v>
      </c>
      <c r="O156" t="s">
        <v>117</v>
      </c>
      <c r="P156" s="11">
        <v>7500</v>
      </c>
      <c r="Q156" t="s">
        <v>62</v>
      </c>
      <c r="R156" s="11">
        <f t="shared" si="4"/>
        <v>7500</v>
      </c>
      <c r="S156" t="str">
        <f t="shared" si="5"/>
        <v>One-Time</v>
      </c>
    </row>
    <row r="157" spans="1:19" ht="15" customHeight="1" x14ac:dyDescent="0.3">
      <c r="A157">
        <v>156</v>
      </c>
      <c r="B157" t="s">
        <v>368</v>
      </c>
      <c r="C157">
        <v>1092399</v>
      </c>
      <c r="D157" t="s">
        <v>114</v>
      </c>
      <c r="E157">
        <v>46</v>
      </c>
      <c r="F157" t="s">
        <v>76</v>
      </c>
      <c r="G157" s="10">
        <v>45470</v>
      </c>
      <c r="H157" t="s">
        <v>42</v>
      </c>
      <c r="I157" t="s">
        <v>85</v>
      </c>
      <c r="J157" t="s">
        <v>48</v>
      </c>
      <c r="K157" t="s">
        <v>190</v>
      </c>
      <c r="L157" t="s">
        <v>59</v>
      </c>
      <c r="M157" t="s">
        <v>116</v>
      </c>
      <c r="N157">
        <v>6</v>
      </c>
      <c r="O157" t="s">
        <v>117</v>
      </c>
      <c r="P157" s="11">
        <v>5800</v>
      </c>
      <c r="Q157" t="s">
        <v>62</v>
      </c>
      <c r="R157" s="11">
        <f t="shared" si="4"/>
        <v>0</v>
      </c>
      <c r="S157" t="str">
        <f t="shared" si="5"/>
        <v>One-Time</v>
      </c>
    </row>
    <row r="158" spans="1:19" ht="15" customHeight="1" x14ac:dyDescent="0.3">
      <c r="A158">
        <v>157</v>
      </c>
      <c r="B158" t="s">
        <v>369</v>
      </c>
      <c r="C158">
        <v>1867708</v>
      </c>
      <c r="D158" t="s">
        <v>114</v>
      </c>
      <c r="E158">
        <v>20</v>
      </c>
      <c r="F158" t="s">
        <v>75</v>
      </c>
      <c r="G158" s="10">
        <v>45471</v>
      </c>
      <c r="H158" t="s">
        <v>42</v>
      </c>
      <c r="I158" t="s">
        <v>82</v>
      </c>
      <c r="J158" t="s">
        <v>48</v>
      </c>
      <c r="K158" t="s">
        <v>190</v>
      </c>
      <c r="L158" t="s">
        <v>59</v>
      </c>
      <c r="M158" t="s">
        <v>116</v>
      </c>
      <c r="N158">
        <v>5</v>
      </c>
      <c r="O158" t="s">
        <v>117</v>
      </c>
      <c r="P158" s="11">
        <v>5800</v>
      </c>
      <c r="Q158" t="s">
        <v>68</v>
      </c>
      <c r="R158" s="11">
        <f t="shared" si="4"/>
        <v>5800</v>
      </c>
      <c r="S158" t="str">
        <f t="shared" si="5"/>
        <v>One-Time</v>
      </c>
    </row>
    <row r="159" spans="1:19" ht="15" customHeight="1" x14ac:dyDescent="0.3">
      <c r="A159">
        <v>158</v>
      </c>
      <c r="B159" t="s">
        <v>370</v>
      </c>
      <c r="C159">
        <v>7163849</v>
      </c>
      <c r="D159" t="s">
        <v>114</v>
      </c>
      <c r="E159">
        <v>26</v>
      </c>
      <c r="F159" t="s">
        <v>75</v>
      </c>
      <c r="G159" s="10">
        <v>45472</v>
      </c>
      <c r="H159" t="s">
        <v>42</v>
      </c>
      <c r="I159" t="s">
        <v>85</v>
      </c>
      <c r="J159" t="s">
        <v>48</v>
      </c>
      <c r="K159" t="s">
        <v>190</v>
      </c>
      <c r="L159" t="s">
        <v>59</v>
      </c>
      <c r="M159" t="s">
        <v>116</v>
      </c>
      <c r="N159">
        <v>23</v>
      </c>
      <c r="O159" t="s">
        <v>117</v>
      </c>
      <c r="P159" s="11">
        <v>5800</v>
      </c>
      <c r="Q159" t="s">
        <v>371</v>
      </c>
      <c r="R159" s="11">
        <f t="shared" si="4"/>
        <v>0</v>
      </c>
      <c r="S159" t="str">
        <f t="shared" si="5"/>
        <v>One-Time</v>
      </c>
    </row>
    <row r="160" spans="1:19" ht="15" customHeight="1" x14ac:dyDescent="0.3">
      <c r="A160">
        <v>159</v>
      </c>
      <c r="B160" t="s">
        <v>372</v>
      </c>
      <c r="C160">
        <v>7372776</v>
      </c>
      <c r="D160" t="s">
        <v>114</v>
      </c>
      <c r="E160">
        <v>49</v>
      </c>
      <c r="F160" t="s">
        <v>76</v>
      </c>
      <c r="G160" s="10">
        <v>45473</v>
      </c>
      <c r="H160" t="s">
        <v>42</v>
      </c>
      <c r="I160" t="s">
        <v>82</v>
      </c>
      <c r="J160" t="s">
        <v>48</v>
      </c>
      <c r="K160" t="s">
        <v>190</v>
      </c>
      <c r="L160" t="s">
        <v>59</v>
      </c>
      <c r="M160" t="s">
        <v>122</v>
      </c>
      <c r="N160">
        <v>2</v>
      </c>
      <c r="O160" t="s">
        <v>117</v>
      </c>
      <c r="P160" s="11">
        <v>5800</v>
      </c>
      <c r="Q160" t="s">
        <v>66</v>
      </c>
      <c r="R160" s="11">
        <f t="shared" si="4"/>
        <v>5800</v>
      </c>
      <c r="S160" t="str">
        <f t="shared" si="5"/>
        <v>One-Time</v>
      </c>
    </row>
    <row r="161" spans="1:19" ht="15" customHeight="1" x14ac:dyDescent="0.3">
      <c r="A161">
        <v>160</v>
      </c>
      <c r="B161" t="s">
        <v>373</v>
      </c>
      <c r="C161">
        <v>7757271</v>
      </c>
      <c r="D161" t="s">
        <v>114</v>
      </c>
      <c r="E161">
        <v>32</v>
      </c>
      <c r="F161" t="s">
        <v>76</v>
      </c>
      <c r="G161" s="10">
        <v>45474</v>
      </c>
      <c r="H161" t="s">
        <v>43</v>
      </c>
      <c r="I161" t="s">
        <v>82</v>
      </c>
      <c r="J161" t="s">
        <v>48</v>
      </c>
      <c r="K161" t="s">
        <v>184</v>
      </c>
      <c r="L161" t="s">
        <v>59</v>
      </c>
      <c r="M161" t="s">
        <v>122</v>
      </c>
      <c r="N161">
        <v>5</v>
      </c>
      <c r="O161" t="s">
        <v>117</v>
      </c>
      <c r="P161" s="11">
        <v>5800</v>
      </c>
      <c r="Q161" t="s">
        <v>374</v>
      </c>
      <c r="R161" s="11">
        <f t="shared" si="4"/>
        <v>5800</v>
      </c>
      <c r="S161" t="str">
        <f t="shared" si="5"/>
        <v>One-Time</v>
      </c>
    </row>
    <row r="162" spans="1:19" ht="15" customHeight="1" x14ac:dyDescent="0.3">
      <c r="A162">
        <v>161</v>
      </c>
      <c r="B162" t="s">
        <v>375</v>
      </c>
      <c r="C162">
        <v>6304030</v>
      </c>
      <c r="D162" t="s">
        <v>114</v>
      </c>
      <c r="E162">
        <v>34</v>
      </c>
      <c r="F162" t="s">
        <v>76</v>
      </c>
      <c r="G162" s="10">
        <v>45475</v>
      </c>
      <c r="H162" t="s">
        <v>43</v>
      </c>
      <c r="I162" t="s">
        <v>82</v>
      </c>
      <c r="J162" t="s">
        <v>48</v>
      </c>
      <c r="K162" t="s">
        <v>184</v>
      </c>
      <c r="L162" t="s">
        <v>59</v>
      </c>
      <c r="M162" t="s">
        <v>122</v>
      </c>
      <c r="N162">
        <v>9</v>
      </c>
      <c r="O162" t="s">
        <v>117</v>
      </c>
      <c r="P162" s="11">
        <v>5800</v>
      </c>
      <c r="Q162" t="s">
        <v>376</v>
      </c>
      <c r="R162" s="11">
        <f t="shared" si="4"/>
        <v>5800</v>
      </c>
      <c r="S162" t="str">
        <f t="shared" si="5"/>
        <v>Repeat</v>
      </c>
    </row>
    <row r="163" spans="1:19" ht="15" customHeight="1" x14ac:dyDescent="0.3">
      <c r="A163">
        <v>162</v>
      </c>
      <c r="B163" t="s">
        <v>375</v>
      </c>
      <c r="C163">
        <v>6304030</v>
      </c>
      <c r="D163" t="s">
        <v>114</v>
      </c>
      <c r="E163">
        <v>28</v>
      </c>
      <c r="F163" t="s">
        <v>75</v>
      </c>
      <c r="G163" s="10">
        <v>45476</v>
      </c>
      <c r="H163" t="s">
        <v>43</v>
      </c>
      <c r="I163" t="s">
        <v>82</v>
      </c>
      <c r="J163" t="s">
        <v>48</v>
      </c>
      <c r="K163" t="s">
        <v>184</v>
      </c>
      <c r="L163" t="s">
        <v>59</v>
      </c>
      <c r="M163" t="s">
        <v>122</v>
      </c>
      <c r="N163">
        <v>27</v>
      </c>
      <c r="O163" t="s">
        <v>117</v>
      </c>
      <c r="P163" s="11">
        <v>5500</v>
      </c>
      <c r="Q163" t="s">
        <v>377</v>
      </c>
      <c r="R163" s="11">
        <f t="shared" si="4"/>
        <v>5500</v>
      </c>
      <c r="S163" t="str">
        <f t="shared" si="5"/>
        <v>Repeat</v>
      </c>
    </row>
    <row r="164" spans="1:19" ht="15" customHeight="1" x14ac:dyDescent="0.3">
      <c r="A164">
        <v>163</v>
      </c>
      <c r="B164" t="s">
        <v>378</v>
      </c>
      <c r="C164">
        <v>7790665</v>
      </c>
      <c r="D164" t="s">
        <v>114</v>
      </c>
      <c r="E164">
        <v>36</v>
      </c>
      <c r="F164" t="s">
        <v>76</v>
      </c>
      <c r="G164" s="10">
        <v>45477</v>
      </c>
      <c r="H164" t="s">
        <v>43</v>
      </c>
      <c r="I164" t="s">
        <v>82</v>
      </c>
      <c r="J164" t="s">
        <v>48</v>
      </c>
      <c r="K164" t="s">
        <v>184</v>
      </c>
      <c r="L164" t="s">
        <v>59</v>
      </c>
      <c r="M164" t="s">
        <v>122</v>
      </c>
      <c r="N164">
        <v>6</v>
      </c>
      <c r="O164" t="s">
        <v>117</v>
      </c>
      <c r="P164" s="11">
        <v>5500</v>
      </c>
      <c r="Q164" t="s">
        <v>379</v>
      </c>
      <c r="R164" s="11">
        <f t="shared" si="4"/>
        <v>5500</v>
      </c>
      <c r="S164" t="str">
        <f t="shared" si="5"/>
        <v>One-Time</v>
      </c>
    </row>
    <row r="165" spans="1:19" ht="15" customHeight="1" x14ac:dyDescent="0.3">
      <c r="A165">
        <v>164</v>
      </c>
      <c r="B165" t="s">
        <v>380</v>
      </c>
      <c r="C165">
        <v>5595686</v>
      </c>
      <c r="D165" t="s">
        <v>114</v>
      </c>
      <c r="E165">
        <v>73</v>
      </c>
      <c r="F165" t="s">
        <v>77</v>
      </c>
      <c r="G165" s="10">
        <v>45478</v>
      </c>
      <c r="H165" t="s">
        <v>43</v>
      </c>
      <c r="I165" t="s">
        <v>82</v>
      </c>
      <c r="J165" t="s">
        <v>48</v>
      </c>
      <c r="K165" t="s">
        <v>184</v>
      </c>
      <c r="L165" t="s">
        <v>59</v>
      </c>
      <c r="M165" t="s">
        <v>122</v>
      </c>
      <c r="N165">
        <v>6</v>
      </c>
      <c r="O165" t="s">
        <v>117</v>
      </c>
      <c r="P165" s="11">
        <v>5500</v>
      </c>
      <c r="Q165" t="s">
        <v>64</v>
      </c>
      <c r="R165" s="11">
        <f t="shared" si="4"/>
        <v>5500</v>
      </c>
      <c r="S165" t="str">
        <f t="shared" si="5"/>
        <v>One-Time</v>
      </c>
    </row>
    <row r="166" spans="1:19" ht="15" customHeight="1" x14ac:dyDescent="0.3">
      <c r="A166">
        <v>165</v>
      </c>
      <c r="B166" t="s">
        <v>381</v>
      </c>
      <c r="C166">
        <v>8251665</v>
      </c>
      <c r="D166" t="s">
        <v>114</v>
      </c>
      <c r="E166">
        <v>56</v>
      </c>
      <c r="F166" t="s">
        <v>77</v>
      </c>
      <c r="G166" s="10">
        <v>45479</v>
      </c>
      <c r="H166" t="s">
        <v>43</v>
      </c>
      <c r="I166" t="s">
        <v>82</v>
      </c>
      <c r="J166" t="s">
        <v>48</v>
      </c>
      <c r="K166" t="s">
        <v>184</v>
      </c>
      <c r="L166" t="s">
        <v>59</v>
      </c>
      <c r="M166" t="s">
        <v>122</v>
      </c>
      <c r="N166">
        <v>2</v>
      </c>
      <c r="O166" t="s">
        <v>117</v>
      </c>
      <c r="P166" s="11">
        <v>5500</v>
      </c>
      <c r="Q166" t="s">
        <v>63</v>
      </c>
      <c r="R166" s="11">
        <f t="shared" si="4"/>
        <v>5500</v>
      </c>
      <c r="S166" t="str">
        <f t="shared" si="5"/>
        <v>One-Time</v>
      </c>
    </row>
    <row r="167" spans="1:19" ht="15" customHeight="1" x14ac:dyDescent="0.3">
      <c r="A167">
        <v>166</v>
      </c>
      <c r="B167" t="s">
        <v>382</v>
      </c>
      <c r="C167">
        <v>7054852</v>
      </c>
      <c r="D167" t="s">
        <v>114</v>
      </c>
      <c r="E167">
        <v>73</v>
      </c>
      <c r="F167" t="s">
        <v>77</v>
      </c>
      <c r="G167" s="10">
        <v>45480</v>
      </c>
      <c r="H167" t="s">
        <v>43</v>
      </c>
      <c r="I167" t="s">
        <v>82</v>
      </c>
      <c r="J167" t="s">
        <v>48</v>
      </c>
      <c r="K167" t="s">
        <v>184</v>
      </c>
      <c r="L167" t="s">
        <v>59</v>
      </c>
      <c r="M167" t="s">
        <v>122</v>
      </c>
      <c r="N167">
        <v>32</v>
      </c>
      <c r="O167" t="s">
        <v>117</v>
      </c>
      <c r="P167" s="11">
        <v>5500</v>
      </c>
      <c r="Q167" t="s">
        <v>62</v>
      </c>
      <c r="R167" s="11">
        <f t="shared" si="4"/>
        <v>5500</v>
      </c>
      <c r="S167" t="str">
        <f t="shared" si="5"/>
        <v>One-Time</v>
      </c>
    </row>
    <row r="168" spans="1:19" ht="15" customHeight="1" x14ac:dyDescent="0.3">
      <c r="A168">
        <v>167</v>
      </c>
      <c r="B168" t="s">
        <v>383</v>
      </c>
      <c r="C168">
        <v>1132538</v>
      </c>
      <c r="D168" t="s">
        <v>114</v>
      </c>
      <c r="E168">
        <v>18</v>
      </c>
      <c r="F168" t="s">
        <v>75</v>
      </c>
      <c r="G168" s="10">
        <v>45481</v>
      </c>
      <c r="H168" t="s">
        <v>43</v>
      </c>
      <c r="I168" t="s">
        <v>82</v>
      </c>
      <c r="J168" t="s">
        <v>48</v>
      </c>
      <c r="K168" t="s">
        <v>184</v>
      </c>
      <c r="L168" t="s">
        <v>59</v>
      </c>
      <c r="M168" t="s">
        <v>122</v>
      </c>
      <c r="N168">
        <v>3</v>
      </c>
      <c r="O168" t="s">
        <v>117</v>
      </c>
      <c r="P168" s="11">
        <v>6000</v>
      </c>
      <c r="Q168" t="s">
        <v>65</v>
      </c>
      <c r="R168" s="11">
        <f t="shared" si="4"/>
        <v>6000</v>
      </c>
      <c r="S168" t="str">
        <f t="shared" si="5"/>
        <v>One-Time</v>
      </c>
    </row>
    <row r="169" spans="1:19" ht="15" customHeight="1" x14ac:dyDescent="0.3">
      <c r="A169">
        <v>168</v>
      </c>
      <c r="B169" t="s">
        <v>384</v>
      </c>
      <c r="C169">
        <v>2642921</v>
      </c>
      <c r="D169" t="s">
        <v>114</v>
      </c>
      <c r="E169">
        <v>48</v>
      </c>
      <c r="F169" t="s">
        <v>76</v>
      </c>
      <c r="G169" s="10">
        <v>45482</v>
      </c>
      <c r="H169" t="s">
        <v>43</v>
      </c>
      <c r="I169" t="s">
        <v>82</v>
      </c>
      <c r="J169" t="s">
        <v>48</v>
      </c>
      <c r="K169" t="s">
        <v>184</v>
      </c>
      <c r="L169" t="s">
        <v>59</v>
      </c>
      <c r="M169" t="s">
        <v>122</v>
      </c>
      <c r="N169">
        <v>48</v>
      </c>
      <c r="O169" t="s">
        <v>117</v>
      </c>
      <c r="P169" s="11">
        <v>6000</v>
      </c>
      <c r="Q169" t="s">
        <v>191</v>
      </c>
      <c r="R169" s="11">
        <f t="shared" si="4"/>
        <v>6000</v>
      </c>
      <c r="S169" t="str">
        <f t="shared" si="5"/>
        <v>One-Time</v>
      </c>
    </row>
    <row r="170" spans="1:19" ht="15" customHeight="1" x14ac:dyDescent="0.3">
      <c r="A170">
        <v>169</v>
      </c>
      <c r="B170" t="s">
        <v>385</v>
      </c>
      <c r="C170">
        <v>6293095</v>
      </c>
      <c r="D170" t="s">
        <v>114</v>
      </c>
      <c r="E170">
        <v>28</v>
      </c>
      <c r="F170" t="s">
        <v>75</v>
      </c>
      <c r="G170" s="10">
        <v>45483</v>
      </c>
      <c r="H170" t="s">
        <v>43</v>
      </c>
      <c r="I170" t="s">
        <v>82</v>
      </c>
      <c r="J170" t="s">
        <v>48</v>
      </c>
      <c r="K170" t="s">
        <v>184</v>
      </c>
      <c r="L170" t="s">
        <v>59</v>
      </c>
      <c r="M170" t="s">
        <v>122</v>
      </c>
      <c r="N170">
        <v>5</v>
      </c>
      <c r="O170" t="s">
        <v>117</v>
      </c>
      <c r="P170" s="11">
        <v>6000</v>
      </c>
      <c r="Q170" t="s">
        <v>300</v>
      </c>
      <c r="R170" s="11">
        <f t="shared" si="4"/>
        <v>6000</v>
      </c>
      <c r="S170" t="str">
        <f t="shared" si="5"/>
        <v>One-Time</v>
      </c>
    </row>
    <row r="171" spans="1:19" ht="15" customHeight="1" x14ac:dyDescent="0.3">
      <c r="A171">
        <v>170</v>
      </c>
      <c r="B171" t="s">
        <v>386</v>
      </c>
      <c r="C171">
        <v>2438137</v>
      </c>
      <c r="D171" t="s">
        <v>114</v>
      </c>
      <c r="E171">
        <v>74</v>
      </c>
      <c r="F171" t="s">
        <v>77</v>
      </c>
      <c r="G171" s="10">
        <v>45484</v>
      </c>
      <c r="H171" t="s">
        <v>43</v>
      </c>
      <c r="I171" t="s">
        <v>82</v>
      </c>
      <c r="J171" t="s">
        <v>48</v>
      </c>
      <c r="K171" t="s">
        <v>184</v>
      </c>
      <c r="L171" t="s">
        <v>59</v>
      </c>
      <c r="M171" t="s">
        <v>122</v>
      </c>
      <c r="N171">
        <v>2</v>
      </c>
      <c r="O171" t="s">
        <v>117</v>
      </c>
      <c r="P171" s="11">
        <v>6000</v>
      </c>
      <c r="Q171" t="s">
        <v>118</v>
      </c>
      <c r="R171" s="11">
        <f t="shared" si="4"/>
        <v>6000</v>
      </c>
      <c r="S171" t="str">
        <f t="shared" si="5"/>
        <v>One-Time</v>
      </c>
    </row>
    <row r="172" spans="1:19" ht="15" customHeight="1" x14ac:dyDescent="0.3">
      <c r="A172">
        <v>171</v>
      </c>
      <c r="B172" t="s">
        <v>387</v>
      </c>
      <c r="C172">
        <v>6539984</v>
      </c>
      <c r="D172" t="s">
        <v>114</v>
      </c>
      <c r="E172">
        <v>40</v>
      </c>
      <c r="F172" t="s">
        <v>76</v>
      </c>
      <c r="G172" s="10">
        <v>45485</v>
      </c>
      <c r="H172" t="s">
        <v>43</v>
      </c>
      <c r="I172" t="s">
        <v>82</v>
      </c>
      <c r="J172" t="s">
        <v>48</v>
      </c>
      <c r="K172" t="s">
        <v>184</v>
      </c>
      <c r="L172" t="s">
        <v>59</v>
      </c>
      <c r="M172" t="s">
        <v>122</v>
      </c>
      <c r="N172">
        <v>9</v>
      </c>
      <c r="O172" t="s">
        <v>117</v>
      </c>
      <c r="P172" s="11">
        <v>6000</v>
      </c>
      <c r="Q172" t="s">
        <v>68</v>
      </c>
      <c r="R172" s="11">
        <f t="shared" si="4"/>
        <v>6000</v>
      </c>
      <c r="S172" t="str">
        <f t="shared" si="5"/>
        <v>One-Time</v>
      </c>
    </row>
    <row r="173" spans="1:19" ht="15" customHeight="1" x14ac:dyDescent="0.3">
      <c r="A173">
        <v>172</v>
      </c>
      <c r="B173" t="s">
        <v>388</v>
      </c>
      <c r="C173">
        <v>4740407</v>
      </c>
      <c r="D173" t="s">
        <v>114</v>
      </c>
      <c r="E173">
        <v>71</v>
      </c>
      <c r="F173" t="s">
        <v>77</v>
      </c>
      <c r="G173" s="10">
        <v>45486</v>
      </c>
      <c r="H173" t="s">
        <v>43</v>
      </c>
      <c r="I173" t="s">
        <v>82</v>
      </c>
      <c r="J173" t="s">
        <v>48</v>
      </c>
      <c r="K173" t="s">
        <v>184</v>
      </c>
      <c r="L173" t="s">
        <v>59</v>
      </c>
      <c r="M173" t="s">
        <v>122</v>
      </c>
      <c r="N173">
        <v>7</v>
      </c>
      <c r="O173" t="s">
        <v>117</v>
      </c>
      <c r="P173" s="11">
        <v>6000</v>
      </c>
      <c r="Q173" t="s">
        <v>63</v>
      </c>
      <c r="R173" s="11">
        <f t="shared" si="4"/>
        <v>6000</v>
      </c>
      <c r="S173" t="str">
        <f t="shared" si="5"/>
        <v>One-Time</v>
      </c>
    </row>
    <row r="174" spans="1:19" ht="15" customHeight="1" x14ac:dyDescent="0.3">
      <c r="A174">
        <v>173</v>
      </c>
      <c r="B174" t="s">
        <v>389</v>
      </c>
      <c r="C174">
        <v>9159866</v>
      </c>
      <c r="D174" t="s">
        <v>114</v>
      </c>
      <c r="E174">
        <v>22</v>
      </c>
      <c r="F174" t="s">
        <v>75</v>
      </c>
      <c r="G174" s="10">
        <v>45487</v>
      </c>
      <c r="H174" t="s">
        <v>43</v>
      </c>
      <c r="I174" t="s">
        <v>82</v>
      </c>
      <c r="J174" t="s">
        <v>48</v>
      </c>
      <c r="K174" t="s">
        <v>173</v>
      </c>
      <c r="L174" t="s">
        <v>59</v>
      </c>
      <c r="M174" t="s">
        <v>122</v>
      </c>
      <c r="N174">
        <v>2</v>
      </c>
      <c r="O174" t="s">
        <v>117</v>
      </c>
      <c r="P174" s="11">
        <v>6000</v>
      </c>
      <c r="Q174" t="s">
        <v>390</v>
      </c>
      <c r="R174" s="11">
        <f t="shared" si="4"/>
        <v>6000</v>
      </c>
      <c r="S174" t="str">
        <f t="shared" si="5"/>
        <v>One-Time</v>
      </c>
    </row>
    <row r="175" spans="1:19" ht="15" customHeight="1" x14ac:dyDescent="0.3">
      <c r="A175">
        <v>174</v>
      </c>
      <c r="B175" t="s">
        <v>391</v>
      </c>
      <c r="C175">
        <v>1619866</v>
      </c>
      <c r="D175" t="s">
        <v>392</v>
      </c>
      <c r="E175">
        <v>18</v>
      </c>
      <c r="F175" t="s">
        <v>75</v>
      </c>
      <c r="G175" s="10">
        <v>45488</v>
      </c>
      <c r="H175" t="s">
        <v>43</v>
      </c>
      <c r="I175" t="s">
        <v>83</v>
      </c>
      <c r="J175" t="s">
        <v>48</v>
      </c>
      <c r="K175" t="s">
        <v>144</v>
      </c>
      <c r="L175" t="s">
        <v>59</v>
      </c>
      <c r="M175" t="s">
        <v>122</v>
      </c>
      <c r="N175">
        <v>8</v>
      </c>
      <c r="O175" t="s">
        <v>117</v>
      </c>
      <c r="P175" s="11">
        <v>6000</v>
      </c>
      <c r="Q175" t="s">
        <v>63</v>
      </c>
      <c r="R175" s="11">
        <f t="shared" si="4"/>
        <v>0</v>
      </c>
      <c r="S175" t="str">
        <f t="shared" si="5"/>
        <v>One-Time</v>
      </c>
    </row>
    <row r="176" spans="1:19" ht="15" customHeight="1" x14ac:dyDescent="0.3">
      <c r="A176">
        <v>175</v>
      </c>
      <c r="B176" t="s">
        <v>393</v>
      </c>
      <c r="C176">
        <v>6502399</v>
      </c>
      <c r="D176" t="s">
        <v>392</v>
      </c>
      <c r="E176">
        <v>48</v>
      </c>
      <c r="F176" t="s">
        <v>76</v>
      </c>
      <c r="G176" s="10">
        <v>45489</v>
      </c>
      <c r="H176" t="s">
        <v>43</v>
      </c>
      <c r="I176" t="s">
        <v>82</v>
      </c>
      <c r="J176" t="s">
        <v>48</v>
      </c>
      <c r="K176" t="s">
        <v>144</v>
      </c>
      <c r="L176" t="s">
        <v>59</v>
      </c>
      <c r="M176" t="s">
        <v>122</v>
      </c>
      <c r="N176">
        <v>4</v>
      </c>
      <c r="O176" t="s">
        <v>117</v>
      </c>
      <c r="P176" s="11">
        <v>6000</v>
      </c>
      <c r="Q176" t="s">
        <v>169</v>
      </c>
      <c r="R176" s="11">
        <f t="shared" si="4"/>
        <v>6000</v>
      </c>
      <c r="S176" t="str">
        <f t="shared" si="5"/>
        <v>One-Time</v>
      </c>
    </row>
    <row r="177" spans="1:19" ht="15" customHeight="1" x14ac:dyDescent="0.3">
      <c r="A177">
        <v>176</v>
      </c>
      <c r="B177" t="s">
        <v>394</v>
      </c>
      <c r="C177">
        <v>7238770</v>
      </c>
      <c r="D177" t="s">
        <v>114</v>
      </c>
      <c r="E177">
        <v>24</v>
      </c>
      <c r="F177" t="s">
        <v>75</v>
      </c>
      <c r="G177" s="10">
        <v>45490</v>
      </c>
      <c r="H177" t="s">
        <v>43</v>
      </c>
      <c r="I177" t="s">
        <v>82</v>
      </c>
      <c r="J177" t="s">
        <v>48</v>
      </c>
      <c r="K177" t="s">
        <v>144</v>
      </c>
      <c r="L177" t="s">
        <v>59</v>
      </c>
      <c r="M177" t="s">
        <v>122</v>
      </c>
      <c r="N177">
        <v>5</v>
      </c>
      <c r="O177" t="s">
        <v>117</v>
      </c>
      <c r="P177" s="11">
        <v>6000</v>
      </c>
      <c r="Q177" t="s">
        <v>325</v>
      </c>
      <c r="R177" s="11">
        <f t="shared" si="4"/>
        <v>6000</v>
      </c>
      <c r="S177" t="str">
        <f t="shared" si="5"/>
        <v>One-Time</v>
      </c>
    </row>
    <row r="178" spans="1:19" ht="15" customHeight="1" x14ac:dyDescent="0.3">
      <c r="A178">
        <v>177</v>
      </c>
      <c r="B178" t="s">
        <v>395</v>
      </c>
      <c r="C178">
        <v>1376871</v>
      </c>
      <c r="D178" t="s">
        <v>114</v>
      </c>
      <c r="E178">
        <v>41</v>
      </c>
      <c r="F178" t="s">
        <v>76</v>
      </c>
      <c r="G178" s="10">
        <v>45491</v>
      </c>
      <c r="H178" t="s">
        <v>43</v>
      </c>
      <c r="I178" t="s">
        <v>82</v>
      </c>
      <c r="J178" t="s">
        <v>48</v>
      </c>
      <c r="K178" t="s">
        <v>144</v>
      </c>
      <c r="L178" t="s">
        <v>60</v>
      </c>
      <c r="M178" t="s">
        <v>122</v>
      </c>
      <c r="N178">
        <v>6</v>
      </c>
      <c r="O178" t="s">
        <v>117</v>
      </c>
      <c r="P178" s="11">
        <v>6000</v>
      </c>
      <c r="Q178" t="s">
        <v>63</v>
      </c>
      <c r="R178" s="11">
        <f t="shared" si="4"/>
        <v>6000</v>
      </c>
      <c r="S178" t="str">
        <f t="shared" si="5"/>
        <v>One-Time</v>
      </c>
    </row>
    <row r="179" spans="1:19" ht="15" customHeight="1" x14ac:dyDescent="0.3">
      <c r="A179">
        <v>178</v>
      </c>
      <c r="B179" t="s">
        <v>396</v>
      </c>
      <c r="C179">
        <v>8257154</v>
      </c>
      <c r="D179" t="s">
        <v>114</v>
      </c>
      <c r="E179">
        <v>53</v>
      </c>
      <c r="F179" t="s">
        <v>77</v>
      </c>
      <c r="G179" s="10">
        <v>45492</v>
      </c>
      <c r="H179" t="s">
        <v>43</v>
      </c>
      <c r="I179" t="s">
        <v>82</v>
      </c>
      <c r="J179" t="s">
        <v>48</v>
      </c>
      <c r="K179" t="s">
        <v>144</v>
      </c>
      <c r="L179" t="s">
        <v>60</v>
      </c>
      <c r="M179" t="s">
        <v>122</v>
      </c>
      <c r="N179">
        <v>31</v>
      </c>
      <c r="O179" t="s">
        <v>117</v>
      </c>
      <c r="P179" s="11">
        <v>6000</v>
      </c>
      <c r="Q179" t="s">
        <v>294</v>
      </c>
      <c r="R179" s="11">
        <f t="shared" si="4"/>
        <v>6000</v>
      </c>
      <c r="S179" t="str">
        <f t="shared" si="5"/>
        <v>One-Time</v>
      </c>
    </row>
    <row r="180" spans="1:19" ht="15" customHeight="1" x14ac:dyDescent="0.3">
      <c r="A180">
        <v>179</v>
      </c>
      <c r="B180" t="s">
        <v>397</v>
      </c>
      <c r="C180">
        <v>4145340</v>
      </c>
      <c r="D180" t="s">
        <v>114</v>
      </c>
      <c r="E180">
        <v>29</v>
      </c>
      <c r="F180" t="s">
        <v>75</v>
      </c>
      <c r="G180" s="10">
        <v>45493</v>
      </c>
      <c r="H180" t="s">
        <v>43</v>
      </c>
      <c r="I180" t="s">
        <v>82</v>
      </c>
      <c r="J180" t="s">
        <v>48</v>
      </c>
      <c r="K180" t="s">
        <v>144</v>
      </c>
      <c r="L180" t="s">
        <v>60</v>
      </c>
      <c r="M180" t="s">
        <v>122</v>
      </c>
      <c r="N180">
        <v>2</v>
      </c>
      <c r="O180" t="s">
        <v>117</v>
      </c>
      <c r="P180" s="11">
        <v>6000</v>
      </c>
      <c r="Q180" t="s">
        <v>67</v>
      </c>
      <c r="R180" s="11">
        <f t="shared" si="4"/>
        <v>6000</v>
      </c>
      <c r="S180" t="str">
        <f t="shared" si="5"/>
        <v>One-Time</v>
      </c>
    </row>
    <row r="181" spans="1:19" ht="15" customHeight="1" x14ac:dyDescent="0.3">
      <c r="A181">
        <v>180</v>
      </c>
      <c r="B181" t="s">
        <v>398</v>
      </c>
      <c r="C181">
        <v>9073647</v>
      </c>
      <c r="D181" t="s">
        <v>392</v>
      </c>
      <c r="E181">
        <v>37</v>
      </c>
      <c r="F181" t="s">
        <v>76</v>
      </c>
      <c r="G181" s="10">
        <v>45494</v>
      </c>
      <c r="H181" t="s">
        <v>43</v>
      </c>
      <c r="I181" t="s">
        <v>82</v>
      </c>
      <c r="J181" t="s">
        <v>48</v>
      </c>
      <c r="K181" t="s">
        <v>144</v>
      </c>
      <c r="L181" t="s">
        <v>60</v>
      </c>
      <c r="M181" t="s">
        <v>122</v>
      </c>
      <c r="N181">
        <v>5</v>
      </c>
      <c r="O181" t="s">
        <v>117</v>
      </c>
      <c r="P181" s="11">
        <v>6000</v>
      </c>
      <c r="Q181" t="s">
        <v>63</v>
      </c>
      <c r="R181" s="11">
        <f t="shared" si="4"/>
        <v>6000</v>
      </c>
      <c r="S181" t="str">
        <f t="shared" si="5"/>
        <v>One-Time</v>
      </c>
    </row>
    <row r="182" spans="1:19" ht="15" customHeight="1" x14ac:dyDescent="0.3">
      <c r="A182">
        <v>181</v>
      </c>
      <c r="B182" t="s">
        <v>399</v>
      </c>
      <c r="C182">
        <v>8882909</v>
      </c>
      <c r="D182" t="s">
        <v>392</v>
      </c>
      <c r="E182">
        <v>73</v>
      </c>
      <c r="F182" t="s">
        <v>77</v>
      </c>
      <c r="G182" s="10">
        <v>45495</v>
      </c>
      <c r="H182" t="s">
        <v>43</v>
      </c>
      <c r="I182" t="s">
        <v>82</v>
      </c>
      <c r="J182" t="s">
        <v>48</v>
      </c>
      <c r="K182" t="s">
        <v>144</v>
      </c>
      <c r="L182" t="s">
        <v>60</v>
      </c>
      <c r="M182" t="s">
        <v>122</v>
      </c>
      <c r="N182">
        <v>5</v>
      </c>
      <c r="O182" t="s">
        <v>117</v>
      </c>
      <c r="P182" s="11">
        <v>6000</v>
      </c>
      <c r="Q182" t="s">
        <v>66</v>
      </c>
      <c r="R182" s="11">
        <f t="shared" si="4"/>
        <v>6000</v>
      </c>
      <c r="S182" t="str">
        <f t="shared" si="5"/>
        <v>One-Time</v>
      </c>
    </row>
    <row r="183" spans="1:19" ht="15" customHeight="1" x14ac:dyDescent="0.3">
      <c r="A183">
        <v>182</v>
      </c>
      <c r="B183" t="s">
        <v>400</v>
      </c>
      <c r="C183">
        <v>9353236</v>
      </c>
      <c r="D183" t="s">
        <v>114</v>
      </c>
      <c r="E183">
        <v>42</v>
      </c>
      <c r="F183" t="s">
        <v>76</v>
      </c>
      <c r="G183" s="10">
        <v>45496</v>
      </c>
      <c r="H183" t="s">
        <v>43</v>
      </c>
      <c r="I183" t="s">
        <v>82</v>
      </c>
      <c r="J183" t="s">
        <v>48</v>
      </c>
      <c r="K183" t="s">
        <v>144</v>
      </c>
      <c r="L183" t="s">
        <v>60</v>
      </c>
      <c r="M183" t="s">
        <v>122</v>
      </c>
      <c r="N183">
        <v>8</v>
      </c>
      <c r="O183" t="s">
        <v>117</v>
      </c>
      <c r="P183" s="11">
        <v>5900</v>
      </c>
      <c r="Q183" t="s">
        <v>401</v>
      </c>
      <c r="R183" s="11">
        <f t="shared" si="4"/>
        <v>5900</v>
      </c>
      <c r="S183" t="str">
        <f t="shared" si="5"/>
        <v>One-Time</v>
      </c>
    </row>
    <row r="184" spans="1:19" ht="15" customHeight="1" x14ac:dyDescent="0.3">
      <c r="A184">
        <v>183</v>
      </c>
      <c r="B184" t="s">
        <v>402</v>
      </c>
      <c r="C184">
        <v>8519920</v>
      </c>
      <c r="D184" t="s">
        <v>392</v>
      </c>
      <c r="E184">
        <v>33</v>
      </c>
      <c r="F184" t="s">
        <v>76</v>
      </c>
      <c r="G184" s="10">
        <v>45497</v>
      </c>
      <c r="H184" t="s">
        <v>43</v>
      </c>
      <c r="I184" t="s">
        <v>82</v>
      </c>
      <c r="J184" t="s">
        <v>48</v>
      </c>
      <c r="K184" t="s">
        <v>144</v>
      </c>
      <c r="L184" t="s">
        <v>60</v>
      </c>
      <c r="M184" t="s">
        <v>122</v>
      </c>
      <c r="N184">
        <v>9</v>
      </c>
      <c r="O184" t="s">
        <v>117</v>
      </c>
      <c r="P184" s="11">
        <v>5900</v>
      </c>
      <c r="Q184" t="s">
        <v>403</v>
      </c>
      <c r="R184" s="11">
        <f t="shared" si="4"/>
        <v>5900</v>
      </c>
      <c r="S184" t="str">
        <f t="shared" si="5"/>
        <v>One-Time</v>
      </c>
    </row>
    <row r="185" spans="1:19" ht="15" customHeight="1" x14ac:dyDescent="0.3">
      <c r="A185">
        <v>184</v>
      </c>
      <c r="B185" t="s">
        <v>404</v>
      </c>
      <c r="C185">
        <v>9860710</v>
      </c>
      <c r="D185" t="s">
        <v>392</v>
      </c>
      <c r="E185">
        <v>29</v>
      </c>
      <c r="F185" t="s">
        <v>75</v>
      </c>
      <c r="G185" s="10">
        <v>45498</v>
      </c>
      <c r="H185" t="s">
        <v>43</v>
      </c>
      <c r="I185" t="s">
        <v>82</v>
      </c>
      <c r="J185" t="s">
        <v>48</v>
      </c>
      <c r="K185" t="s">
        <v>144</v>
      </c>
      <c r="L185" t="s">
        <v>60</v>
      </c>
      <c r="M185" t="s">
        <v>122</v>
      </c>
      <c r="N185">
        <v>4</v>
      </c>
      <c r="O185" t="s">
        <v>117</v>
      </c>
      <c r="P185" s="11">
        <v>5900</v>
      </c>
      <c r="Q185" t="s">
        <v>405</v>
      </c>
      <c r="R185" s="11">
        <f t="shared" si="4"/>
        <v>5900</v>
      </c>
      <c r="S185" t="str">
        <f t="shared" si="5"/>
        <v>One-Time</v>
      </c>
    </row>
    <row r="186" spans="1:19" ht="15" customHeight="1" x14ac:dyDescent="0.3">
      <c r="A186">
        <v>185</v>
      </c>
      <c r="B186" t="s">
        <v>406</v>
      </c>
      <c r="C186">
        <v>9474390</v>
      </c>
      <c r="D186" t="s">
        <v>392</v>
      </c>
      <c r="E186">
        <v>39</v>
      </c>
      <c r="F186" t="s">
        <v>76</v>
      </c>
      <c r="G186" s="10">
        <v>45499</v>
      </c>
      <c r="H186" t="s">
        <v>43</v>
      </c>
      <c r="I186" t="s">
        <v>82</v>
      </c>
      <c r="J186" t="s">
        <v>48</v>
      </c>
      <c r="K186" t="s">
        <v>144</v>
      </c>
      <c r="L186" t="s">
        <v>60</v>
      </c>
      <c r="M186" t="s">
        <v>122</v>
      </c>
      <c r="N186">
        <v>7</v>
      </c>
      <c r="O186" t="s">
        <v>117</v>
      </c>
      <c r="P186" s="11">
        <v>5900</v>
      </c>
      <c r="Q186" t="s">
        <v>65</v>
      </c>
      <c r="R186" s="11">
        <f t="shared" si="4"/>
        <v>5900</v>
      </c>
      <c r="S186" t="str">
        <f t="shared" si="5"/>
        <v>One-Time</v>
      </c>
    </row>
    <row r="187" spans="1:19" ht="15" customHeight="1" x14ac:dyDescent="0.3">
      <c r="A187">
        <v>186</v>
      </c>
      <c r="B187" t="s">
        <v>407</v>
      </c>
      <c r="C187">
        <v>5085571</v>
      </c>
      <c r="D187" t="s">
        <v>114</v>
      </c>
      <c r="E187">
        <v>42</v>
      </c>
      <c r="F187" t="s">
        <v>76</v>
      </c>
      <c r="G187" s="10">
        <v>45500</v>
      </c>
      <c r="H187" t="s">
        <v>43</v>
      </c>
      <c r="I187" t="s">
        <v>82</v>
      </c>
      <c r="J187" t="s">
        <v>48</v>
      </c>
      <c r="K187" t="s">
        <v>144</v>
      </c>
      <c r="L187" t="s">
        <v>60</v>
      </c>
      <c r="M187" t="s">
        <v>122</v>
      </c>
      <c r="N187">
        <v>8</v>
      </c>
      <c r="O187" t="s">
        <v>117</v>
      </c>
      <c r="P187" s="11">
        <v>5900</v>
      </c>
      <c r="Q187" t="s">
        <v>63</v>
      </c>
      <c r="R187" s="11">
        <f t="shared" si="4"/>
        <v>5900</v>
      </c>
      <c r="S187" t="str">
        <f t="shared" si="5"/>
        <v>One-Time</v>
      </c>
    </row>
    <row r="188" spans="1:19" ht="15" customHeight="1" x14ac:dyDescent="0.3">
      <c r="A188">
        <v>187</v>
      </c>
      <c r="B188" t="s">
        <v>408</v>
      </c>
      <c r="C188">
        <v>9457709</v>
      </c>
      <c r="D188" t="s">
        <v>392</v>
      </c>
      <c r="E188">
        <v>59</v>
      </c>
      <c r="F188" t="s">
        <v>77</v>
      </c>
      <c r="G188" s="10">
        <v>45501</v>
      </c>
      <c r="H188" t="s">
        <v>43</v>
      </c>
      <c r="I188" t="s">
        <v>82</v>
      </c>
      <c r="J188" t="s">
        <v>48</v>
      </c>
      <c r="K188" t="s">
        <v>144</v>
      </c>
      <c r="L188" t="s">
        <v>60</v>
      </c>
      <c r="M188" t="s">
        <v>122</v>
      </c>
      <c r="N188">
        <v>9</v>
      </c>
      <c r="O188" t="s">
        <v>117</v>
      </c>
      <c r="P188" s="11">
        <v>5900</v>
      </c>
      <c r="Q188" t="s">
        <v>409</v>
      </c>
      <c r="R188" s="11">
        <f t="shared" si="4"/>
        <v>5900</v>
      </c>
      <c r="S188" t="str">
        <f t="shared" si="5"/>
        <v>One-Time</v>
      </c>
    </row>
    <row r="189" spans="1:19" ht="15" customHeight="1" x14ac:dyDescent="0.3">
      <c r="A189">
        <v>188</v>
      </c>
      <c r="B189" t="s">
        <v>410</v>
      </c>
      <c r="C189">
        <v>2746120</v>
      </c>
      <c r="D189" t="s">
        <v>114</v>
      </c>
      <c r="E189">
        <v>46</v>
      </c>
      <c r="F189" t="s">
        <v>76</v>
      </c>
      <c r="G189" s="10">
        <v>45502</v>
      </c>
      <c r="H189" t="s">
        <v>43</v>
      </c>
      <c r="I189" t="s">
        <v>82</v>
      </c>
      <c r="J189" t="s">
        <v>48</v>
      </c>
      <c r="K189" t="s">
        <v>144</v>
      </c>
      <c r="L189" t="s">
        <v>60</v>
      </c>
      <c r="M189" t="s">
        <v>122</v>
      </c>
      <c r="N189">
        <v>7</v>
      </c>
      <c r="O189" t="s">
        <v>117</v>
      </c>
      <c r="P189" s="11">
        <v>5900</v>
      </c>
      <c r="Q189" t="s">
        <v>307</v>
      </c>
      <c r="R189" s="11">
        <f t="shared" si="4"/>
        <v>5900</v>
      </c>
      <c r="S189" t="str">
        <f t="shared" si="5"/>
        <v>One-Time</v>
      </c>
    </row>
    <row r="190" spans="1:19" ht="15" customHeight="1" x14ac:dyDescent="0.3">
      <c r="A190">
        <v>189</v>
      </c>
      <c r="B190" t="s">
        <v>411</v>
      </c>
      <c r="C190">
        <v>1878389</v>
      </c>
      <c r="D190" t="s">
        <v>392</v>
      </c>
      <c r="E190">
        <v>48</v>
      </c>
      <c r="F190" t="s">
        <v>76</v>
      </c>
      <c r="G190" s="10">
        <v>45503</v>
      </c>
      <c r="H190" t="s">
        <v>43</v>
      </c>
      <c r="I190" t="s">
        <v>82</v>
      </c>
      <c r="J190" t="s">
        <v>48</v>
      </c>
      <c r="K190" t="s">
        <v>144</v>
      </c>
      <c r="L190" t="s">
        <v>60</v>
      </c>
      <c r="M190" t="s">
        <v>122</v>
      </c>
      <c r="N190">
        <v>6</v>
      </c>
      <c r="O190" t="s">
        <v>117</v>
      </c>
      <c r="P190" s="11">
        <v>5900</v>
      </c>
      <c r="Q190" t="s">
        <v>66</v>
      </c>
      <c r="R190" s="11">
        <f t="shared" si="4"/>
        <v>5900</v>
      </c>
      <c r="S190" t="str">
        <f t="shared" si="5"/>
        <v>One-Time</v>
      </c>
    </row>
    <row r="191" spans="1:19" ht="15" customHeight="1" x14ac:dyDescent="0.3">
      <c r="A191">
        <v>190</v>
      </c>
      <c r="B191" t="s">
        <v>412</v>
      </c>
      <c r="C191">
        <v>476685</v>
      </c>
      <c r="D191" t="s">
        <v>114</v>
      </c>
      <c r="E191">
        <v>33</v>
      </c>
      <c r="F191" t="s">
        <v>76</v>
      </c>
      <c r="G191" s="10">
        <v>45504</v>
      </c>
      <c r="H191" t="s">
        <v>43</v>
      </c>
      <c r="I191" t="s">
        <v>82</v>
      </c>
      <c r="J191" t="s">
        <v>48</v>
      </c>
      <c r="K191" t="s">
        <v>144</v>
      </c>
      <c r="L191" t="s">
        <v>60</v>
      </c>
      <c r="M191" t="s">
        <v>315</v>
      </c>
      <c r="N191">
        <v>2</v>
      </c>
      <c r="O191" t="s">
        <v>117</v>
      </c>
      <c r="P191" s="11">
        <v>5900</v>
      </c>
      <c r="Q191" t="s">
        <v>67</v>
      </c>
      <c r="R191" s="11">
        <f t="shared" si="4"/>
        <v>5900</v>
      </c>
      <c r="S191" t="str">
        <f t="shared" si="5"/>
        <v>Repeat</v>
      </c>
    </row>
    <row r="192" spans="1:19" ht="15" customHeight="1" x14ac:dyDescent="0.3">
      <c r="A192">
        <v>191</v>
      </c>
      <c r="B192" t="s">
        <v>412</v>
      </c>
      <c r="C192">
        <v>476685</v>
      </c>
      <c r="D192" t="s">
        <v>392</v>
      </c>
      <c r="E192">
        <v>22</v>
      </c>
      <c r="F192" t="s">
        <v>75</v>
      </c>
      <c r="G192" s="10">
        <v>45505</v>
      </c>
      <c r="H192" t="s">
        <v>44</v>
      </c>
      <c r="I192" t="s">
        <v>82</v>
      </c>
      <c r="J192" t="s">
        <v>48</v>
      </c>
      <c r="K192" t="s">
        <v>144</v>
      </c>
      <c r="L192" t="s">
        <v>60</v>
      </c>
      <c r="M192" t="s">
        <v>315</v>
      </c>
      <c r="N192">
        <v>8</v>
      </c>
      <c r="O192" t="s">
        <v>117</v>
      </c>
      <c r="P192" s="11">
        <v>5900</v>
      </c>
      <c r="Q192" t="s">
        <v>64</v>
      </c>
      <c r="R192" s="11">
        <f t="shared" si="4"/>
        <v>5900</v>
      </c>
      <c r="S192" t="str">
        <f t="shared" si="5"/>
        <v>Repeat</v>
      </c>
    </row>
    <row r="193" spans="1:19" ht="15" customHeight="1" x14ac:dyDescent="0.3">
      <c r="A193">
        <v>192</v>
      </c>
      <c r="B193" t="s">
        <v>413</v>
      </c>
      <c r="C193">
        <v>1845045</v>
      </c>
      <c r="D193" t="s">
        <v>392</v>
      </c>
      <c r="E193">
        <v>23</v>
      </c>
      <c r="F193" t="s">
        <v>75</v>
      </c>
      <c r="G193" s="10">
        <v>45506</v>
      </c>
      <c r="H193" t="s">
        <v>44</v>
      </c>
      <c r="I193" t="s">
        <v>82</v>
      </c>
      <c r="J193" t="s">
        <v>48</v>
      </c>
      <c r="K193" t="s">
        <v>144</v>
      </c>
      <c r="L193" t="s">
        <v>60</v>
      </c>
      <c r="M193" t="s">
        <v>315</v>
      </c>
      <c r="N193">
        <v>4</v>
      </c>
      <c r="O193" t="s">
        <v>117</v>
      </c>
      <c r="P193" s="11">
        <v>5900</v>
      </c>
      <c r="Q193" t="s">
        <v>414</v>
      </c>
      <c r="R193" s="11">
        <f t="shared" si="4"/>
        <v>5900</v>
      </c>
      <c r="S193" t="str">
        <f t="shared" si="5"/>
        <v>One-Time</v>
      </c>
    </row>
    <row r="194" spans="1:19" ht="15" customHeight="1" x14ac:dyDescent="0.3">
      <c r="A194">
        <v>193</v>
      </c>
      <c r="B194" t="s">
        <v>415</v>
      </c>
      <c r="C194">
        <v>9933073</v>
      </c>
      <c r="D194" t="s">
        <v>392</v>
      </c>
      <c r="E194">
        <v>42</v>
      </c>
      <c r="F194" t="s">
        <v>76</v>
      </c>
      <c r="G194" s="10">
        <v>45507</v>
      </c>
      <c r="H194" t="s">
        <v>44</v>
      </c>
      <c r="I194" t="s">
        <v>82</v>
      </c>
      <c r="J194" t="s">
        <v>48</v>
      </c>
      <c r="K194" t="s">
        <v>144</v>
      </c>
      <c r="L194" t="s">
        <v>60</v>
      </c>
      <c r="M194" t="s">
        <v>315</v>
      </c>
      <c r="N194">
        <v>6</v>
      </c>
      <c r="O194" t="s">
        <v>117</v>
      </c>
      <c r="P194" s="11">
        <v>5900</v>
      </c>
      <c r="Q194" t="s">
        <v>63</v>
      </c>
      <c r="R194" s="11">
        <f t="shared" ref="R194:R257" si="6">IF(I194="Delivered",P194,0)</f>
        <v>5900</v>
      </c>
      <c r="S194" t="str">
        <f t="shared" ref="S194:S257" si="7">IF(COUNTIF($C$2:$C$1501,C194)&gt;1,"Repeat","One-Time")</f>
        <v>One-Time</v>
      </c>
    </row>
    <row r="195" spans="1:19" ht="15" customHeight="1" x14ac:dyDescent="0.3">
      <c r="A195">
        <v>194</v>
      </c>
      <c r="B195" t="s">
        <v>416</v>
      </c>
      <c r="C195">
        <v>5497347</v>
      </c>
      <c r="D195" t="s">
        <v>392</v>
      </c>
      <c r="E195">
        <v>38</v>
      </c>
      <c r="F195" t="s">
        <v>76</v>
      </c>
      <c r="G195" s="10">
        <v>45508</v>
      </c>
      <c r="H195" t="s">
        <v>44</v>
      </c>
      <c r="I195" t="s">
        <v>82</v>
      </c>
      <c r="J195" t="s">
        <v>48</v>
      </c>
      <c r="K195" t="s">
        <v>144</v>
      </c>
      <c r="L195" t="s">
        <v>60</v>
      </c>
      <c r="M195" t="s">
        <v>315</v>
      </c>
      <c r="N195">
        <v>5</v>
      </c>
      <c r="O195" t="s">
        <v>117</v>
      </c>
      <c r="P195" s="11">
        <v>5900</v>
      </c>
      <c r="Q195" t="s">
        <v>417</v>
      </c>
      <c r="R195" s="11">
        <f t="shared" si="6"/>
        <v>5900</v>
      </c>
      <c r="S195" t="str">
        <f t="shared" si="7"/>
        <v>One-Time</v>
      </c>
    </row>
    <row r="196" spans="1:19" ht="15" customHeight="1" x14ac:dyDescent="0.3">
      <c r="A196">
        <v>195</v>
      </c>
      <c r="B196" t="s">
        <v>418</v>
      </c>
      <c r="C196">
        <v>7912532</v>
      </c>
      <c r="D196" t="s">
        <v>392</v>
      </c>
      <c r="E196">
        <v>39</v>
      </c>
      <c r="F196" t="s">
        <v>76</v>
      </c>
      <c r="G196" s="10">
        <v>45509</v>
      </c>
      <c r="H196" t="s">
        <v>44</v>
      </c>
      <c r="I196" t="s">
        <v>82</v>
      </c>
      <c r="J196" t="s">
        <v>48</v>
      </c>
      <c r="K196" t="s">
        <v>144</v>
      </c>
      <c r="L196" t="s">
        <v>60</v>
      </c>
      <c r="M196" t="s">
        <v>315</v>
      </c>
      <c r="N196">
        <v>23</v>
      </c>
      <c r="O196" t="s">
        <v>117</v>
      </c>
      <c r="P196" s="11">
        <v>5900</v>
      </c>
      <c r="Q196" t="s">
        <v>419</v>
      </c>
      <c r="R196" s="11">
        <f t="shared" si="6"/>
        <v>5900</v>
      </c>
      <c r="S196" t="str">
        <f t="shared" si="7"/>
        <v>One-Time</v>
      </c>
    </row>
    <row r="197" spans="1:19" ht="15" customHeight="1" x14ac:dyDescent="0.3">
      <c r="A197">
        <v>196</v>
      </c>
      <c r="B197" t="s">
        <v>420</v>
      </c>
      <c r="C197">
        <v>9766258</v>
      </c>
      <c r="D197" t="s">
        <v>392</v>
      </c>
      <c r="E197">
        <v>50</v>
      </c>
      <c r="F197" t="s">
        <v>77</v>
      </c>
      <c r="G197" s="10">
        <v>45510</v>
      </c>
      <c r="H197" t="s">
        <v>44</v>
      </c>
      <c r="I197" t="s">
        <v>82</v>
      </c>
      <c r="J197" t="s">
        <v>48</v>
      </c>
      <c r="K197" t="s">
        <v>142</v>
      </c>
      <c r="L197" t="s">
        <v>60</v>
      </c>
      <c r="M197" t="s">
        <v>315</v>
      </c>
      <c r="N197">
        <v>2</v>
      </c>
      <c r="O197" t="s">
        <v>117</v>
      </c>
      <c r="P197" s="11">
        <v>5900</v>
      </c>
      <c r="Q197" t="s">
        <v>63</v>
      </c>
      <c r="R197" s="11">
        <f t="shared" si="6"/>
        <v>5900</v>
      </c>
      <c r="S197" t="str">
        <f t="shared" si="7"/>
        <v>One-Time</v>
      </c>
    </row>
    <row r="198" spans="1:19" ht="15" customHeight="1" x14ac:dyDescent="0.3">
      <c r="A198">
        <v>197</v>
      </c>
      <c r="B198" t="s">
        <v>421</v>
      </c>
      <c r="C198">
        <v>1473140</v>
      </c>
      <c r="D198" t="s">
        <v>114</v>
      </c>
      <c r="E198">
        <v>31</v>
      </c>
      <c r="F198" t="s">
        <v>76</v>
      </c>
      <c r="G198" s="10">
        <v>45511</v>
      </c>
      <c r="H198" t="s">
        <v>44</v>
      </c>
      <c r="I198" t="s">
        <v>82</v>
      </c>
      <c r="J198" t="s">
        <v>48</v>
      </c>
      <c r="K198" t="s">
        <v>142</v>
      </c>
      <c r="L198" t="s">
        <v>60</v>
      </c>
      <c r="M198" t="s">
        <v>315</v>
      </c>
      <c r="N198">
        <v>5</v>
      </c>
      <c r="O198" t="s">
        <v>117</v>
      </c>
      <c r="P198" s="11">
        <v>5900</v>
      </c>
      <c r="Q198" t="s">
        <v>265</v>
      </c>
      <c r="R198" s="11">
        <f t="shared" si="6"/>
        <v>5900</v>
      </c>
      <c r="S198" t="str">
        <f t="shared" si="7"/>
        <v>One-Time</v>
      </c>
    </row>
    <row r="199" spans="1:19" ht="15" customHeight="1" x14ac:dyDescent="0.3">
      <c r="A199">
        <v>198</v>
      </c>
      <c r="B199" t="s">
        <v>422</v>
      </c>
      <c r="C199">
        <v>524091</v>
      </c>
      <c r="D199" t="s">
        <v>392</v>
      </c>
      <c r="E199">
        <v>33</v>
      </c>
      <c r="F199" t="s">
        <v>76</v>
      </c>
      <c r="G199" s="10">
        <v>45512</v>
      </c>
      <c r="H199" t="s">
        <v>44</v>
      </c>
      <c r="I199" t="s">
        <v>82</v>
      </c>
      <c r="J199" t="s">
        <v>48</v>
      </c>
      <c r="K199" t="s">
        <v>142</v>
      </c>
      <c r="L199" t="s">
        <v>60</v>
      </c>
      <c r="M199" t="s">
        <v>315</v>
      </c>
      <c r="N199">
        <v>9</v>
      </c>
      <c r="O199" t="s">
        <v>117</v>
      </c>
      <c r="P199" s="11">
        <v>5900</v>
      </c>
      <c r="Q199" t="s">
        <v>69</v>
      </c>
      <c r="R199" s="11">
        <f t="shared" si="6"/>
        <v>5900</v>
      </c>
      <c r="S199" t="str">
        <f t="shared" si="7"/>
        <v>One-Time</v>
      </c>
    </row>
    <row r="200" spans="1:19" ht="15" customHeight="1" x14ac:dyDescent="0.3">
      <c r="A200">
        <v>199</v>
      </c>
      <c r="B200" t="s">
        <v>423</v>
      </c>
      <c r="C200">
        <v>6280655</v>
      </c>
      <c r="D200" t="s">
        <v>392</v>
      </c>
      <c r="E200">
        <v>23</v>
      </c>
      <c r="F200" t="s">
        <v>75</v>
      </c>
      <c r="G200" s="10">
        <v>45513</v>
      </c>
      <c r="H200" t="s">
        <v>44</v>
      </c>
      <c r="I200" t="s">
        <v>82</v>
      </c>
      <c r="J200" t="s">
        <v>48</v>
      </c>
      <c r="K200" t="s">
        <v>142</v>
      </c>
      <c r="L200" t="s">
        <v>60</v>
      </c>
      <c r="M200" t="s">
        <v>315</v>
      </c>
      <c r="N200">
        <v>27</v>
      </c>
      <c r="O200" t="s">
        <v>117</v>
      </c>
      <c r="P200" s="11">
        <v>5900</v>
      </c>
      <c r="Q200" t="s">
        <v>265</v>
      </c>
      <c r="R200" s="11">
        <f t="shared" si="6"/>
        <v>5900</v>
      </c>
      <c r="S200" t="str">
        <f t="shared" si="7"/>
        <v>One-Time</v>
      </c>
    </row>
    <row r="201" spans="1:19" ht="15" customHeight="1" x14ac:dyDescent="0.3">
      <c r="A201">
        <v>200</v>
      </c>
      <c r="B201" t="s">
        <v>424</v>
      </c>
      <c r="C201">
        <v>1920070</v>
      </c>
      <c r="D201" t="s">
        <v>114</v>
      </c>
      <c r="E201">
        <v>57</v>
      </c>
      <c r="F201" t="s">
        <v>77</v>
      </c>
      <c r="G201" s="10">
        <v>45514</v>
      </c>
      <c r="H201" t="s">
        <v>44</v>
      </c>
      <c r="I201" t="s">
        <v>82</v>
      </c>
      <c r="J201" t="s">
        <v>48</v>
      </c>
      <c r="K201" t="s">
        <v>142</v>
      </c>
      <c r="L201" t="s">
        <v>60</v>
      </c>
      <c r="M201" t="s">
        <v>315</v>
      </c>
      <c r="N201">
        <v>6</v>
      </c>
      <c r="O201" t="s">
        <v>117</v>
      </c>
      <c r="P201" s="11">
        <v>5900</v>
      </c>
      <c r="Q201" t="s">
        <v>425</v>
      </c>
      <c r="R201" s="11">
        <f t="shared" si="6"/>
        <v>5900</v>
      </c>
      <c r="S201" t="str">
        <f t="shared" si="7"/>
        <v>One-Time</v>
      </c>
    </row>
    <row r="202" spans="1:19" ht="15" customHeight="1" x14ac:dyDescent="0.3">
      <c r="A202">
        <v>201</v>
      </c>
      <c r="B202" t="s">
        <v>426</v>
      </c>
      <c r="C202">
        <v>2265901</v>
      </c>
      <c r="D202" t="s">
        <v>392</v>
      </c>
      <c r="E202">
        <v>35</v>
      </c>
      <c r="F202" t="s">
        <v>76</v>
      </c>
      <c r="G202" s="10">
        <v>45515</v>
      </c>
      <c r="H202" t="s">
        <v>44</v>
      </c>
      <c r="I202" t="s">
        <v>82</v>
      </c>
      <c r="J202" t="s">
        <v>48</v>
      </c>
      <c r="K202" t="s">
        <v>142</v>
      </c>
      <c r="L202" t="s">
        <v>60</v>
      </c>
      <c r="M202" t="s">
        <v>315</v>
      </c>
      <c r="N202">
        <v>6</v>
      </c>
      <c r="O202" t="s">
        <v>117</v>
      </c>
      <c r="P202" s="11">
        <v>5900</v>
      </c>
      <c r="Q202" t="s">
        <v>427</v>
      </c>
      <c r="R202" s="11">
        <f t="shared" si="6"/>
        <v>5900</v>
      </c>
      <c r="S202" t="str">
        <f t="shared" si="7"/>
        <v>One-Time</v>
      </c>
    </row>
    <row r="203" spans="1:19" ht="15" customHeight="1" x14ac:dyDescent="0.3">
      <c r="A203">
        <v>202</v>
      </c>
      <c r="B203" t="s">
        <v>428</v>
      </c>
      <c r="C203">
        <v>476593</v>
      </c>
      <c r="D203" t="s">
        <v>392</v>
      </c>
      <c r="E203">
        <v>29</v>
      </c>
      <c r="F203" t="s">
        <v>75</v>
      </c>
      <c r="G203" s="10">
        <v>45516</v>
      </c>
      <c r="H203" t="s">
        <v>44</v>
      </c>
      <c r="I203" t="s">
        <v>85</v>
      </c>
      <c r="J203" t="s">
        <v>48</v>
      </c>
      <c r="K203" t="s">
        <v>142</v>
      </c>
      <c r="L203" t="s">
        <v>60</v>
      </c>
      <c r="M203" t="s">
        <v>315</v>
      </c>
      <c r="N203">
        <v>2</v>
      </c>
      <c r="O203" t="s">
        <v>117</v>
      </c>
      <c r="P203" s="11">
        <v>5900</v>
      </c>
      <c r="Q203" t="s">
        <v>63</v>
      </c>
      <c r="R203" s="11">
        <f t="shared" si="6"/>
        <v>0</v>
      </c>
      <c r="S203" t="str">
        <f t="shared" si="7"/>
        <v>Repeat</v>
      </c>
    </row>
    <row r="204" spans="1:19" ht="15" customHeight="1" x14ac:dyDescent="0.3">
      <c r="A204">
        <v>203</v>
      </c>
      <c r="B204" t="s">
        <v>428</v>
      </c>
      <c r="C204">
        <v>476593</v>
      </c>
      <c r="D204" t="s">
        <v>392</v>
      </c>
      <c r="E204">
        <v>69</v>
      </c>
      <c r="F204" t="s">
        <v>77</v>
      </c>
      <c r="G204" s="10">
        <v>45517</v>
      </c>
      <c r="H204" t="s">
        <v>44</v>
      </c>
      <c r="I204" t="s">
        <v>82</v>
      </c>
      <c r="J204" t="s">
        <v>48</v>
      </c>
      <c r="K204" t="s">
        <v>142</v>
      </c>
      <c r="L204" t="s">
        <v>60</v>
      </c>
      <c r="M204" t="s">
        <v>315</v>
      </c>
      <c r="N204">
        <v>32</v>
      </c>
      <c r="O204" t="s">
        <v>117</v>
      </c>
      <c r="P204" s="11">
        <v>5900</v>
      </c>
      <c r="Q204" t="s">
        <v>429</v>
      </c>
      <c r="R204" s="11">
        <f t="shared" si="6"/>
        <v>5900</v>
      </c>
      <c r="S204" t="str">
        <f t="shared" si="7"/>
        <v>Repeat</v>
      </c>
    </row>
    <row r="205" spans="1:19" ht="15" customHeight="1" x14ac:dyDescent="0.3">
      <c r="A205">
        <v>204</v>
      </c>
      <c r="B205" t="s">
        <v>430</v>
      </c>
      <c r="C205">
        <v>8490583</v>
      </c>
      <c r="D205" t="s">
        <v>392</v>
      </c>
      <c r="E205">
        <v>49</v>
      </c>
      <c r="F205" t="s">
        <v>76</v>
      </c>
      <c r="G205" s="10">
        <v>45518</v>
      </c>
      <c r="H205" t="s">
        <v>44</v>
      </c>
      <c r="I205" t="s">
        <v>82</v>
      </c>
      <c r="J205" t="s">
        <v>48</v>
      </c>
      <c r="K205" t="s">
        <v>142</v>
      </c>
      <c r="L205" t="s">
        <v>60</v>
      </c>
      <c r="M205" t="s">
        <v>315</v>
      </c>
      <c r="N205">
        <v>3</v>
      </c>
      <c r="O205" t="s">
        <v>117</v>
      </c>
      <c r="P205" s="11">
        <v>5900</v>
      </c>
      <c r="Q205" t="s">
        <v>63</v>
      </c>
      <c r="R205" s="11">
        <f t="shared" si="6"/>
        <v>5900</v>
      </c>
      <c r="S205" t="str">
        <f t="shared" si="7"/>
        <v>One-Time</v>
      </c>
    </row>
    <row r="206" spans="1:19" ht="15" customHeight="1" x14ac:dyDescent="0.3">
      <c r="A206">
        <v>205</v>
      </c>
      <c r="B206" t="s">
        <v>431</v>
      </c>
      <c r="C206">
        <v>5716384</v>
      </c>
      <c r="D206" t="s">
        <v>392</v>
      </c>
      <c r="E206">
        <v>31</v>
      </c>
      <c r="F206" t="s">
        <v>76</v>
      </c>
      <c r="G206" s="10">
        <v>45507</v>
      </c>
      <c r="H206" t="s">
        <v>44</v>
      </c>
      <c r="I206" t="s">
        <v>82</v>
      </c>
      <c r="J206" t="s">
        <v>48</v>
      </c>
      <c r="K206" t="s">
        <v>142</v>
      </c>
      <c r="L206" t="s">
        <v>60</v>
      </c>
      <c r="M206" t="s">
        <v>315</v>
      </c>
      <c r="N206">
        <v>48</v>
      </c>
      <c r="O206" t="s">
        <v>117</v>
      </c>
      <c r="P206" s="11">
        <v>5900</v>
      </c>
      <c r="Q206" t="s">
        <v>65</v>
      </c>
      <c r="R206" s="11">
        <f t="shared" si="6"/>
        <v>5900</v>
      </c>
      <c r="S206" t="str">
        <f t="shared" si="7"/>
        <v>One-Time</v>
      </c>
    </row>
    <row r="207" spans="1:19" ht="15" customHeight="1" x14ac:dyDescent="0.3">
      <c r="A207">
        <v>206</v>
      </c>
      <c r="B207" t="s">
        <v>432</v>
      </c>
      <c r="C207">
        <v>5226206</v>
      </c>
      <c r="D207" t="s">
        <v>392</v>
      </c>
      <c r="E207">
        <v>38</v>
      </c>
      <c r="F207" t="s">
        <v>76</v>
      </c>
      <c r="G207" s="10">
        <v>45295</v>
      </c>
      <c r="H207" t="s">
        <v>37</v>
      </c>
      <c r="I207" t="s">
        <v>82</v>
      </c>
      <c r="J207" t="s">
        <v>48</v>
      </c>
      <c r="K207" t="s">
        <v>142</v>
      </c>
      <c r="L207" t="s">
        <v>60</v>
      </c>
      <c r="M207" t="s">
        <v>315</v>
      </c>
      <c r="N207">
        <v>5</v>
      </c>
      <c r="O207" t="s">
        <v>117</v>
      </c>
      <c r="P207" s="11">
        <v>5900</v>
      </c>
      <c r="Q207" t="s">
        <v>433</v>
      </c>
      <c r="R207" s="11">
        <f t="shared" si="6"/>
        <v>5900</v>
      </c>
      <c r="S207" t="str">
        <f t="shared" si="7"/>
        <v>One-Time</v>
      </c>
    </row>
    <row r="208" spans="1:19" ht="15" customHeight="1" x14ac:dyDescent="0.3">
      <c r="A208">
        <v>207</v>
      </c>
      <c r="B208" t="s">
        <v>434</v>
      </c>
      <c r="C208">
        <v>3951365</v>
      </c>
      <c r="D208" t="s">
        <v>114</v>
      </c>
      <c r="E208">
        <v>46</v>
      </c>
      <c r="F208" t="s">
        <v>76</v>
      </c>
      <c r="G208" s="10">
        <v>45296</v>
      </c>
      <c r="H208" t="s">
        <v>37</v>
      </c>
      <c r="I208" t="s">
        <v>82</v>
      </c>
      <c r="J208" t="s">
        <v>48</v>
      </c>
      <c r="K208" t="s">
        <v>142</v>
      </c>
      <c r="L208" t="s">
        <v>60</v>
      </c>
      <c r="M208" t="s">
        <v>315</v>
      </c>
      <c r="N208">
        <v>2</v>
      </c>
      <c r="O208" t="s">
        <v>117</v>
      </c>
      <c r="P208" s="11">
        <v>5900</v>
      </c>
      <c r="Q208" t="s">
        <v>435</v>
      </c>
      <c r="R208" s="11">
        <f t="shared" si="6"/>
        <v>5900</v>
      </c>
      <c r="S208" t="str">
        <f t="shared" si="7"/>
        <v>One-Time</v>
      </c>
    </row>
    <row r="209" spans="1:19" ht="15" customHeight="1" x14ac:dyDescent="0.3">
      <c r="A209">
        <v>208</v>
      </c>
      <c r="B209" t="s">
        <v>436</v>
      </c>
      <c r="C209">
        <v>2485702</v>
      </c>
      <c r="D209" t="s">
        <v>114</v>
      </c>
      <c r="E209">
        <v>46</v>
      </c>
      <c r="F209" t="s">
        <v>76</v>
      </c>
      <c r="G209" s="10">
        <v>45297</v>
      </c>
      <c r="H209" t="s">
        <v>37</v>
      </c>
      <c r="I209" t="s">
        <v>82</v>
      </c>
      <c r="J209" t="s">
        <v>48</v>
      </c>
      <c r="K209" t="s">
        <v>142</v>
      </c>
      <c r="L209" t="s">
        <v>60</v>
      </c>
      <c r="M209" t="s">
        <v>315</v>
      </c>
      <c r="N209">
        <v>9</v>
      </c>
      <c r="O209" t="s">
        <v>117</v>
      </c>
      <c r="P209" s="11">
        <v>5900</v>
      </c>
      <c r="Q209" t="s">
        <v>437</v>
      </c>
      <c r="R209" s="11">
        <f t="shared" si="6"/>
        <v>5900</v>
      </c>
      <c r="S209" t="str">
        <f t="shared" si="7"/>
        <v>One-Time</v>
      </c>
    </row>
    <row r="210" spans="1:19" ht="15" customHeight="1" x14ac:dyDescent="0.3">
      <c r="A210">
        <v>209</v>
      </c>
      <c r="B210" t="s">
        <v>438</v>
      </c>
      <c r="C210">
        <v>5716802</v>
      </c>
      <c r="D210" t="s">
        <v>114</v>
      </c>
      <c r="E210">
        <v>68</v>
      </c>
      <c r="F210" t="s">
        <v>77</v>
      </c>
      <c r="G210" s="10">
        <v>45298</v>
      </c>
      <c r="H210" t="s">
        <v>37</v>
      </c>
      <c r="I210" t="s">
        <v>82</v>
      </c>
      <c r="J210" t="s">
        <v>48</v>
      </c>
      <c r="K210" t="s">
        <v>142</v>
      </c>
      <c r="L210" t="s">
        <v>60</v>
      </c>
      <c r="M210" t="s">
        <v>315</v>
      </c>
      <c r="N210">
        <v>7</v>
      </c>
      <c r="O210" t="s">
        <v>117</v>
      </c>
      <c r="P210" s="11">
        <v>5900</v>
      </c>
      <c r="Q210" t="s">
        <v>439</v>
      </c>
      <c r="R210" s="11">
        <f t="shared" si="6"/>
        <v>5900</v>
      </c>
      <c r="S210" t="str">
        <f t="shared" si="7"/>
        <v>One-Time</v>
      </c>
    </row>
    <row r="211" spans="1:19" ht="15" customHeight="1" x14ac:dyDescent="0.3">
      <c r="A211">
        <v>210</v>
      </c>
      <c r="B211" t="s">
        <v>440</v>
      </c>
      <c r="C211">
        <v>8120045</v>
      </c>
      <c r="D211" t="s">
        <v>114</v>
      </c>
      <c r="E211">
        <v>20</v>
      </c>
      <c r="F211" t="s">
        <v>75</v>
      </c>
      <c r="G211" s="10">
        <v>45299</v>
      </c>
      <c r="H211" t="s">
        <v>37</v>
      </c>
      <c r="I211" t="s">
        <v>82</v>
      </c>
      <c r="J211" t="s">
        <v>48</v>
      </c>
      <c r="K211" t="s">
        <v>142</v>
      </c>
      <c r="L211" t="s">
        <v>60</v>
      </c>
      <c r="M211" t="s">
        <v>315</v>
      </c>
      <c r="N211">
        <v>2</v>
      </c>
      <c r="O211" t="s">
        <v>117</v>
      </c>
      <c r="P211" s="11">
        <v>5900</v>
      </c>
      <c r="Q211" t="s">
        <v>441</v>
      </c>
      <c r="R211" s="11">
        <f t="shared" si="6"/>
        <v>5900</v>
      </c>
      <c r="S211" t="str">
        <f t="shared" si="7"/>
        <v>One-Time</v>
      </c>
    </row>
    <row r="212" spans="1:19" ht="15" customHeight="1" x14ac:dyDescent="0.3">
      <c r="A212">
        <v>211</v>
      </c>
      <c r="B212" t="s">
        <v>442</v>
      </c>
      <c r="C212">
        <v>7328394</v>
      </c>
      <c r="D212" t="s">
        <v>114</v>
      </c>
      <c r="E212">
        <v>57</v>
      </c>
      <c r="F212" t="s">
        <v>77</v>
      </c>
      <c r="G212" s="10">
        <v>45300</v>
      </c>
      <c r="H212" t="s">
        <v>37</v>
      </c>
      <c r="I212" t="s">
        <v>82</v>
      </c>
      <c r="J212" t="s">
        <v>48</v>
      </c>
      <c r="K212" t="s">
        <v>142</v>
      </c>
      <c r="L212" t="s">
        <v>60</v>
      </c>
      <c r="M212" t="s">
        <v>122</v>
      </c>
      <c r="N212">
        <v>8</v>
      </c>
      <c r="O212" t="s">
        <v>117</v>
      </c>
      <c r="P212" s="11">
        <v>5900</v>
      </c>
      <c r="Q212" t="s">
        <v>71</v>
      </c>
      <c r="R212" s="11">
        <f t="shared" si="6"/>
        <v>5900</v>
      </c>
      <c r="S212" t="str">
        <f t="shared" si="7"/>
        <v>One-Time</v>
      </c>
    </row>
    <row r="213" spans="1:19" ht="15" customHeight="1" x14ac:dyDescent="0.3">
      <c r="A213">
        <v>212</v>
      </c>
      <c r="B213" t="s">
        <v>443</v>
      </c>
      <c r="C213">
        <v>6875530</v>
      </c>
      <c r="D213" t="s">
        <v>114</v>
      </c>
      <c r="E213">
        <v>21</v>
      </c>
      <c r="F213" t="s">
        <v>75</v>
      </c>
      <c r="G213" s="10">
        <v>45301</v>
      </c>
      <c r="H213" t="s">
        <v>37</v>
      </c>
      <c r="I213" t="s">
        <v>83</v>
      </c>
      <c r="J213" t="s">
        <v>48</v>
      </c>
      <c r="K213" t="s">
        <v>142</v>
      </c>
      <c r="L213" t="s">
        <v>60</v>
      </c>
      <c r="M213" t="s">
        <v>122</v>
      </c>
      <c r="N213">
        <v>4</v>
      </c>
      <c r="O213" t="s">
        <v>117</v>
      </c>
      <c r="P213" s="11">
        <v>5900</v>
      </c>
      <c r="Q213" t="s">
        <v>63</v>
      </c>
      <c r="R213" s="11">
        <f t="shared" si="6"/>
        <v>0</v>
      </c>
      <c r="S213" t="str">
        <f t="shared" si="7"/>
        <v>One-Time</v>
      </c>
    </row>
    <row r="214" spans="1:19" ht="15" customHeight="1" x14ac:dyDescent="0.3">
      <c r="A214">
        <v>213</v>
      </c>
      <c r="B214" t="s">
        <v>444</v>
      </c>
      <c r="C214">
        <v>3453298</v>
      </c>
      <c r="D214" t="s">
        <v>114</v>
      </c>
      <c r="E214">
        <v>29</v>
      </c>
      <c r="F214" t="s">
        <v>75</v>
      </c>
      <c r="G214" s="10">
        <v>45302</v>
      </c>
      <c r="H214" t="s">
        <v>37</v>
      </c>
      <c r="I214" t="s">
        <v>82</v>
      </c>
      <c r="J214" t="s">
        <v>48</v>
      </c>
      <c r="K214" t="s">
        <v>121</v>
      </c>
      <c r="L214" t="s">
        <v>60</v>
      </c>
      <c r="M214" t="s">
        <v>122</v>
      </c>
      <c r="N214">
        <v>5</v>
      </c>
      <c r="O214" t="s">
        <v>117</v>
      </c>
      <c r="P214" s="11">
        <v>5900</v>
      </c>
      <c r="Q214" t="s">
        <v>62</v>
      </c>
      <c r="R214" s="11">
        <f t="shared" si="6"/>
        <v>5900</v>
      </c>
      <c r="S214" t="str">
        <f t="shared" si="7"/>
        <v>One-Time</v>
      </c>
    </row>
    <row r="215" spans="1:19" ht="15" customHeight="1" x14ac:dyDescent="0.3">
      <c r="A215">
        <v>214</v>
      </c>
      <c r="B215" t="s">
        <v>445</v>
      </c>
      <c r="C215">
        <v>6898340</v>
      </c>
      <c r="D215" t="s">
        <v>114</v>
      </c>
      <c r="E215">
        <v>49</v>
      </c>
      <c r="F215" t="s">
        <v>76</v>
      </c>
      <c r="G215" s="10">
        <v>45303</v>
      </c>
      <c r="H215" t="s">
        <v>37</v>
      </c>
      <c r="I215" t="s">
        <v>82</v>
      </c>
      <c r="J215" t="s">
        <v>48</v>
      </c>
      <c r="K215" t="s">
        <v>121</v>
      </c>
      <c r="L215" t="s">
        <v>60</v>
      </c>
      <c r="M215" t="s">
        <v>122</v>
      </c>
      <c r="N215">
        <v>6</v>
      </c>
      <c r="O215" t="s">
        <v>117</v>
      </c>
      <c r="P215" s="11">
        <v>5900</v>
      </c>
      <c r="Q215" t="s">
        <v>446</v>
      </c>
      <c r="R215" s="11">
        <f t="shared" si="6"/>
        <v>5900</v>
      </c>
      <c r="S215" t="str">
        <f t="shared" si="7"/>
        <v>One-Time</v>
      </c>
    </row>
    <row r="216" spans="1:19" ht="15" customHeight="1" x14ac:dyDescent="0.3">
      <c r="A216">
        <v>215</v>
      </c>
      <c r="B216" t="s">
        <v>447</v>
      </c>
      <c r="C216">
        <v>9867216</v>
      </c>
      <c r="D216" t="s">
        <v>114</v>
      </c>
      <c r="E216">
        <v>68</v>
      </c>
      <c r="F216" t="s">
        <v>77</v>
      </c>
      <c r="G216" s="10">
        <v>45304</v>
      </c>
      <c r="H216" t="s">
        <v>37</v>
      </c>
      <c r="I216" t="s">
        <v>82</v>
      </c>
      <c r="J216" t="s">
        <v>48</v>
      </c>
      <c r="K216" t="s">
        <v>121</v>
      </c>
      <c r="L216" t="s">
        <v>60</v>
      </c>
      <c r="M216" t="s">
        <v>122</v>
      </c>
      <c r="N216">
        <v>31</v>
      </c>
      <c r="O216" t="s">
        <v>117</v>
      </c>
      <c r="P216" s="11">
        <v>5900</v>
      </c>
      <c r="Q216" t="s">
        <v>66</v>
      </c>
      <c r="R216" s="11">
        <f t="shared" si="6"/>
        <v>5900</v>
      </c>
      <c r="S216" t="str">
        <f t="shared" si="7"/>
        <v>One-Time</v>
      </c>
    </row>
    <row r="217" spans="1:19" ht="15" customHeight="1" x14ac:dyDescent="0.3">
      <c r="A217">
        <v>216</v>
      </c>
      <c r="B217" t="s">
        <v>448</v>
      </c>
      <c r="C217">
        <v>5042032</v>
      </c>
      <c r="D217" t="s">
        <v>114</v>
      </c>
      <c r="E217">
        <v>31</v>
      </c>
      <c r="F217" t="s">
        <v>76</v>
      </c>
      <c r="G217" s="10">
        <v>45305</v>
      </c>
      <c r="H217" t="s">
        <v>37</v>
      </c>
      <c r="I217" t="s">
        <v>82</v>
      </c>
      <c r="J217" t="s">
        <v>48</v>
      </c>
      <c r="K217" t="s">
        <v>121</v>
      </c>
      <c r="L217" t="s">
        <v>60</v>
      </c>
      <c r="M217" t="s">
        <v>122</v>
      </c>
      <c r="N217">
        <v>2</v>
      </c>
      <c r="O217" t="s">
        <v>117</v>
      </c>
      <c r="P217" s="11">
        <v>5900</v>
      </c>
      <c r="Q217" t="s">
        <v>63</v>
      </c>
      <c r="R217" s="11">
        <f t="shared" si="6"/>
        <v>5900</v>
      </c>
      <c r="S217" t="str">
        <f t="shared" si="7"/>
        <v>One-Time</v>
      </c>
    </row>
    <row r="218" spans="1:19" ht="15" customHeight="1" x14ac:dyDescent="0.3">
      <c r="A218">
        <v>217</v>
      </c>
      <c r="B218" t="s">
        <v>449</v>
      </c>
      <c r="C218">
        <v>63406</v>
      </c>
      <c r="D218" t="s">
        <v>114</v>
      </c>
      <c r="E218">
        <v>19</v>
      </c>
      <c r="F218" t="s">
        <v>75</v>
      </c>
      <c r="G218" s="10">
        <v>45306</v>
      </c>
      <c r="H218" t="s">
        <v>37</v>
      </c>
      <c r="I218" t="s">
        <v>82</v>
      </c>
      <c r="J218" t="s">
        <v>48</v>
      </c>
      <c r="K218" t="s">
        <v>121</v>
      </c>
      <c r="L218" t="s">
        <v>60</v>
      </c>
      <c r="M218" t="s">
        <v>122</v>
      </c>
      <c r="N218">
        <v>5</v>
      </c>
      <c r="O218" t="s">
        <v>117</v>
      </c>
      <c r="P218" s="11">
        <v>5900</v>
      </c>
      <c r="Q218" t="s">
        <v>62</v>
      </c>
      <c r="R218" s="11">
        <f t="shared" si="6"/>
        <v>5900</v>
      </c>
      <c r="S218" t="str">
        <f t="shared" si="7"/>
        <v>One-Time</v>
      </c>
    </row>
    <row r="219" spans="1:19" ht="15" customHeight="1" x14ac:dyDescent="0.3">
      <c r="A219">
        <v>218</v>
      </c>
      <c r="B219" t="s">
        <v>450</v>
      </c>
      <c r="C219">
        <v>8307667</v>
      </c>
      <c r="D219" t="s">
        <v>114</v>
      </c>
      <c r="E219">
        <v>30</v>
      </c>
      <c r="F219" t="s">
        <v>76</v>
      </c>
      <c r="G219" s="10">
        <v>45307</v>
      </c>
      <c r="H219" t="s">
        <v>37</v>
      </c>
      <c r="I219" t="s">
        <v>82</v>
      </c>
      <c r="J219" t="s">
        <v>48</v>
      </c>
      <c r="K219" t="s">
        <v>121</v>
      </c>
      <c r="L219" t="s">
        <v>60</v>
      </c>
      <c r="M219" t="s">
        <v>122</v>
      </c>
      <c r="N219">
        <v>5</v>
      </c>
      <c r="O219" t="s">
        <v>117</v>
      </c>
      <c r="P219" s="11">
        <v>5900</v>
      </c>
      <c r="Q219" t="s">
        <v>62</v>
      </c>
      <c r="R219" s="11">
        <f t="shared" si="6"/>
        <v>5900</v>
      </c>
      <c r="S219" t="str">
        <f t="shared" si="7"/>
        <v>One-Time</v>
      </c>
    </row>
    <row r="220" spans="1:19" ht="15" customHeight="1" x14ac:dyDescent="0.3">
      <c r="A220">
        <v>219</v>
      </c>
      <c r="B220" t="s">
        <v>451</v>
      </c>
      <c r="C220">
        <v>7968627</v>
      </c>
      <c r="D220" t="s">
        <v>114</v>
      </c>
      <c r="E220">
        <v>26</v>
      </c>
      <c r="F220" t="s">
        <v>75</v>
      </c>
      <c r="G220" s="10">
        <v>45308</v>
      </c>
      <c r="H220" t="s">
        <v>37</v>
      </c>
      <c r="I220" t="s">
        <v>82</v>
      </c>
      <c r="J220" t="s">
        <v>48</v>
      </c>
      <c r="K220" t="s">
        <v>121</v>
      </c>
      <c r="L220" t="s">
        <v>60</v>
      </c>
      <c r="M220" t="s">
        <v>122</v>
      </c>
      <c r="N220">
        <v>8</v>
      </c>
      <c r="O220" t="s">
        <v>117</v>
      </c>
      <c r="P220" s="11">
        <v>5900</v>
      </c>
      <c r="Q220" t="s">
        <v>241</v>
      </c>
      <c r="R220" s="11">
        <f t="shared" si="6"/>
        <v>5900</v>
      </c>
      <c r="S220" t="str">
        <f t="shared" si="7"/>
        <v>One-Time</v>
      </c>
    </row>
    <row r="221" spans="1:19" ht="15" customHeight="1" x14ac:dyDescent="0.3">
      <c r="A221">
        <v>220</v>
      </c>
      <c r="B221" t="s">
        <v>452</v>
      </c>
      <c r="C221">
        <v>5521742</v>
      </c>
      <c r="D221" t="s">
        <v>114</v>
      </c>
      <c r="E221">
        <v>29</v>
      </c>
      <c r="F221" t="s">
        <v>75</v>
      </c>
      <c r="G221" s="10">
        <v>45309</v>
      </c>
      <c r="H221" t="s">
        <v>37</v>
      </c>
      <c r="I221" t="s">
        <v>85</v>
      </c>
      <c r="J221" t="s">
        <v>48</v>
      </c>
      <c r="K221" t="s">
        <v>121</v>
      </c>
      <c r="L221" t="s">
        <v>60</v>
      </c>
      <c r="M221" t="s">
        <v>122</v>
      </c>
      <c r="N221">
        <v>9</v>
      </c>
      <c r="O221" t="s">
        <v>117</v>
      </c>
      <c r="P221" s="11">
        <v>5900</v>
      </c>
      <c r="Q221" t="s">
        <v>62</v>
      </c>
      <c r="R221" s="11">
        <f t="shared" si="6"/>
        <v>0</v>
      </c>
      <c r="S221" t="str">
        <f t="shared" si="7"/>
        <v>One-Time</v>
      </c>
    </row>
    <row r="222" spans="1:19" ht="15" customHeight="1" x14ac:dyDescent="0.3">
      <c r="A222">
        <v>221</v>
      </c>
      <c r="B222" t="s">
        <v>453</v>
      </c>
      <c r="C222">
        <v>5834744</v>
      </c>
      <c r="D222" t="s">
        <v>114</v>
      </c>
      <c r="E222">
        <v>66</v>
      </c>
      <c r="F222" t="s">
        <v>77</v>
      </c>
      <c r="G222" s="10">
        <v>45310</v>
      </c>
      <c r="H222" t="s">
        <v>37</v>
      </c>
      <c r="I222" t="s">
        <v>82</v>
      </c>
      <c r="J222" t="s">
        <v>48</v>
      </c>
      <c r="K222" t="s">
        <v>121</v>
      </c>
      <c r="L222" t="s">
        <v>60</v>
      </c>
      <c r="M222" t="s">
        <v>122</v>
      </c>
      <c r="N222">
        <v>4</v>
      </c>
      <c r="O222" t="s">
        <v>117</v>
      </c>
      <c r="P222" s="11">
        <v>6600</v>
      </c>
      <c r="Q222" t="s">
        <v>454</v>
      </c>
      <c r="R222" s="11">
        <f t="shared" si="6"/>
        <v>6600</v>
      </c>
      <c r="S222" t="str">
        <f t="shared" si="7"/>
        <v>One-Time</v>
      </c>
    </row>
    <row r="223" spans="1:19" ht="15" customHeight="1" x14ac:dyDescent="0.3">
      <c r="A223">
        <v>222</v>
      </c>
      <c r="B223" t="s">
        <v>455</v>
      </c>
      <c r="C223">
        <v>7465655</v>
      </c>
      <c r="D223" t="s">
        <v>114</v>
      </c>
      <c r="E223">
        <v>53</v>
      </c>
      <c r="F223" t="s">
        <v>77</v>
      </c>
      <c r="G223" s="10">
        <v>45326</v>
      </c>
      <c r="H223" t="s">
        <v>38</v>
      </c>
      <c r="I223" t="s">
        <v>82</v>
      </c>
      <c r="J223" t="s">
        <v>48</v>
      </c>
      <c r="K223" t="s">
        <v>121</v>
      </c>
      <c r="L223" t="s">
        <v>60</v>
      </c>
      <c r="M223" t="s">
        <v>122</v>
      </c>
      <c r="N223">
        <v>7</v>
      </c>
      <c r="O223" t="s">
        <v>117</v>
      </c>
      <c r="P223" s="11">
        <v>6600</v>
      </c>
      <c r="Q223" t="s">
        <v>456</v>
      </c>
      <c r="R223" s="11">
        <f t="shared" si="6"/>
        <v>6600</v>
      </c>
      <c r="S223" t="str">
        <f t="shared" si="7"/>
        <v>One-Time</v>
      </c>
    </row>
    <row r="224" spans="1:19" ht="15" customHeight="1" x14ac:dyDescent="0.3">
      <c r="A224">
        <v>223</v>
      </c>
      <c r="B224" t="s">
        <v>457</v>
      </c>
      <c r="C224">
        <v>3665568</v>
      </c>
      <c r="D224" t="s">
        <v>114</v>
      </c>
      <c r="E224">
        <v>41</v>
      </c>
      <c r="F224" t="s">
        <v>76</v>
      </c>
      <c r="G224" s="10">
        <v>45326</v>
      </c>
      <c r="H224" t="s">
        <v>38</v>
      </c>
      <c r="I224" t="s">
        <v>82</v>
      </c>
      <c r="J224" t="s">
        <v>48</v>
      </c>
      <c r="K224" t="s">
        <v>121</v>
      </c>
      <c r="L224" t="s">
        <v>60</v>
      </c>
      <c r="M224" t="s">
        <v>122</v>
      </c>
      <c r="N224">
        <v>8</v>
      </c>
      <c r="O224" t="s">
        <v>117</v>
      </c>
      <c r="P224" s="11">
        <v>6600</v>
      </c>
      <c r="Q224" t="s">
        <v>458</v>
      </c>
      <c r="R224" s="11">
        <f t="shared" si="6"/>
        <v>6600</v>
      </c>
      <c r="S224" t="str">
        <f t="shared" si="7"/>
        <v>One-Time</v>
      </c>
    </row>
    <row r="225" spans="1:19" ht="15" customHeight="1" x14ac:dyDescent="0.3">
      <c r="A225">
        <v>224</v>
      </c>
      <c r="B225" t="s">
        <v>459</v>
      </c>
      <c r="C225">
        <v>7420219</v>
      </c>
      <c r="D225" t="s">
        <v>114</v>
      </c>
      <c r="E225">
        <v>39</v>
      </c>
      <c r="F225" t="s">
        <v>76</v>
      </c>
      <c r="G225" s="10">
        <v>45326</v>
      </c>
      <c r="H225" t="s">
        <v>38</v>
      </c>
      <c r="I225" t="s">
        <v>82</v>
      </c>
      <c r="J225" t="s">
        <v>48</v>
      </c>
      <c r="K225" t="s">
        <v>121</v>
      </c>
      <c r="L225" t="s">
        <v>60</v>
      </c>
      <c r="M225" t="s">
        <v>122</v>
      </c>
      <c r="N225">
        <v>32</v>
      </c>
      <c r="O225" t="s">
        <v>117</v>
      </c>
      <c r="P225" s="11">
        <v>6600</v>
      </c>
      <c r="Q225" t="s">
        <v>67</v>
      </c>
      <c r="R225" s="11">
        <f t="shared" si="6"/>
        <v>6600</v>
      </c>
      <c r="S225" t="str">
        <f t="shared" si="7"/>
        <v>One-Time</v>
      </c>
    </row>
    <row r="226" spans="1:19" ht="15" customHeight="1" x14ac:dyDescent="0.3">
      <c r="A226">
        <v>225</v>
      </c>
      <c r="B226" t="s">
        <v>460</v>
      </c>
      <c r="C226">
        <v>5160745</v>
      </c>
      <c r="D226" t="s">
        <v>114</v>
      </c>
      <c r="E226">
        <v>36</v>
      </c>
      <c r="F226" t="s">
        <v>76</v>
      </c>
      <c r="G226" s="10">
        <v>45326</v>
      </c>
      <c r="H226" t="s">
        <v>38</v>
      </c>
      <c r="I226" t="s">
        <v>82</v>
      </c>
      <c r="J226" t="s">
        <v>48</v>
      </c>
      <c r="K226" t="s">
        <v>121</v>
      </c>
      <c r="L226" t="s">
        <v>60</v>
      </c>
      <c r="M226" t="s">
        <v>122</v>
      </c>
      <c r="N226">
        <v>3</v>
      </c>
      <c r="O226" t="s">
        <v>117</v>
      </c>
      <c r="P226" s="11">
        <v>6600</v>
      </c>
      <c r="Q226" t="s">
        <v>174</v>
      </c>
      <c r="R226" s="11">
        <f t="shared" si="6"/>
        <v>6600</v>
      </c>
      <c r="S226" t="str">
        <f t="shared" si="7"/>
        <v>One-Time</v>
      </c>
    </row>
    <row r="227" spans="1:19" ht="15" customHeight="1" x14ac:dyDescent="0.3">
      <c r="A227">
        <v>226</v>
      </c>
      <c r="B227" t="s">
        <v>461</v>
      </c>
      <c r="C227">
        <v>8985896</v>
      </c>
      <c r="D227" t="s">
        <v>114</v>
      </c>
      <c r="E227">
        <v>29</v>
      </c>
      <c r="F227" t="s">
        <v>75</v>
      </c>
      <c r="G227" s="10">
        <v>45326</v>
      </c>
      <c r="H227" t="s">
        <v>38</v>
      </c>
      <c r="I227" t="s">
        <v>82</v>
      </c>
      <c r="J227" t="s">
        <v>48</v>
      </c>
      <c r="K227" t="s">
        <v>121</v>
      </c>
      <c r="L227" t="s">
        <v>60</v>
      </c>
      <c r="M227" t="s">
        <v>122</v>
      </c>
      <c r="N227">
        <v>48</v>
      </c>
      <c r="O227" t="s">
        <v>117</v>
      </c>
      <c r="P227" s="11">
        <v>6600</v>
      </c>
      <c r="Q227" t="s">
        <v>65</v>
      </c>
      <c r="R227" s="11">
        <f t="shared" si="6"/>
        <v>6600</v>
      </c>
      <c r="S227" t="str">
        <f t="shared" si="7"/>
        <v>One-Time</v>
      </c>
    </row>
    <row r="228" spans="1:19" ht="15" customHeight="1" x14ac:dyDescent="0.3">
      <c r="A228">
        <v>227</v>
      </c>
      <c r="B228" t="s">
        <v>462</v>
      </c>
      <c r="C228">
        <v>9796800</v>
      </c>
      <c r="D228" t="s">
        <v>114</v>
      </c>
      <c r="E228">
        <v>47</v>
      </c>
      <c r="F228" t="s">
        <v>76</v>
      </c>
      <c r="G228" s="10">
        <v>45326</v>
      </c>
      <c r="H228" t="s">
        <v>38</v>
      </c>
      <c r="I228" t="s">
        <v>82</v>
      </c>
      <c r="J228" t="s">
        <v>48</v>
      </c>
      <c r="K228" t="s">
        <v>121</v>
      </c>
      <c r="L228" t="s">
        <v>60</v>
      </c>
      <c r="M228" t="s">
        <v>122</v>
      </c>
      <c r="N228">
        <v>5</v>
      </c>
      <c r="O228" t="s">
        <v>117</v>
      </c>
      <c r="P228" s="11">
        <v>6600</v>
      </c>
      <c r="Q228" t="s">
        <v>463</v>
      </c>
      <c r="R228" s="11">
        <f t="shared" si="6"/>
        <v>6600</v>
      </c>
      <c r="S228" t="str">
        <f t="shared" si="7"/>
        <v>One-Time</v>
      </c>
    </row>
    <row r="229" spans="1:19" ht="15" customHeight="1" x14ac:dyDescent="0.3">
      <c r="A229">
        <v>228</v>
      </c>
      <c r="B229" t="s">
        <v>464</v>
      </c>
      <c r="C229">
        <v>5617430</v>
      </c>
      <c r="D229" t="s">
        <v>114</v>
      </c>
      <c r="E229">
        <v>20</v>
      </c>
      <c r="F229" t="s">
        <v>75</v>
      </c>
      <c r="G229" s="10">
        <v>45326</v>
      </c>
      <c r="H229" t="s">
        <v>38</v>
      </c>
      <c r="I229" t="s">
        <v>82</v>
      </c>
      <c r="J229" t="s">
        <v>48</v>
      </c>
      <c r="K229" t="s">
        <v>121</v>
      </c>
      <c r="L229" t="s">
        <v>60</v>
      </c>
      <c r="M229" t="s">
        <v>122</v>
      </c>
      <c r="N229">
        <v>2</v>
      </c>
      <c r="O229" t="s">
        <v>117</v>
      </c>
      <c r="P229" s="11">
        <v>6600</v>
      </c>
      <c r="Q229" t="s">
        <v>63</v>
      </c>
      <c r="R229" s="11">
        <f t="shared" si="6"/>
        <v>6600</v>
      </c>
      <c r="S229" t="str">
        <f t="shared" si="7"/>
        <v>One-Time</v>
      </c>
    </row>
    <row r="230" spans="1:19" ht="15" customHeight="1" x14ac:dyDescent="0.3">
      <c r="A230">
        <v>229</v>
      </c>
      <c r="B230" t="s">
        <v>465</v>
      </c>
      <c r="C230">
        <v>8714035</v>
      </c>
      <c r="D230" t="s">
        <v>114</v>
      </c>
      <c r="E230">
        <v>44</v>
      </c>
      <c r="F230" t="s">
        <v>76</v>
      </c>
      <c r="G230" s="10">
        <v>45326</v>
      </c>
      <c r="H230" t="s">
        <v>38</v>
      </c>
      <c r="I230" t="s">
        <v>83</v>
      </c>
      <c r="J230" t="s">
        <v>48</v>
      </c>
      <c r="K230" t="s">
        <v>144</v>
      </c>
      <c r="L230" t="s">
        <v>60</v>
      </c>
      <c r="M230" t="s">
        <v>122</v>
      </c>
      <c r="N230">
        <v>9</v>
      </c>
      <c r="O230" t="s">
        <v>117</v>
      </c>
      <c r="P230" s="11">
        <v>6600</v>
      </c>
      <c r="Q230" t="s">
        <v>466</v>
      </c>
      <c r="R230" s="11">
        <f t="shared" si="6"/>
        <v>0</v>
      </c>
      <c r="S230" t="str">
        <f t="shared" si="7"/>
        <v>One-Time</v>
      </c>
    </row>
    <row r="231" spans="1:19" ht="15" customHeight="1" x14ac:dyDescent="0.3">
      <c r="A231">
        <v>230</v>
      </c>
      <c r="B231" t="s">
        <v>467</v>
      </c>
      <c r="C231">
        <v>1798937</v>
      </c>
      <c r="D231" t="s">
        <v>114</v>
      </c>
      <c r="E231">
        <v>38</v>
      </c>
      <c r="F231" t="s">
        <v>76</v>
      </c>
      <c r="G231" s="10">
        <v>45326</v>
      </c>
      <c r="H231" t="s">
        <v>38</v>
      </c>
      <c r="I231" t="s">
        <v>82</v>
      </c>
      <c r="J231" t="s">
        <v>48</v>
      </c>
      <c r="K231" t="s">
        <v>144</v>
      </c>
      <c r="L231" t="s">
        <v>60</v>
      </c>
      <c r="M231" t="s">
        <v>122</v>
      </c>
      <c r="N231">
        <v>7</v>
      </c>
      <c r="O231" t="s">
        <v>117</v>
      </c>
      <c r="P231" s="11">
        <v>6600</v>
      </c>
      <c r="Q231" t="s">
        <v>468</v>
      </c>
      <c r="R231" s="11">
        <f t="shared" si="6"/>
        <v>6600</v>
      </c>
      <c r="S231" t="str">
        <f t="shared" si="7"/>
        <v>One-Time</v>
      </c>
    </row>
    <row r="232" spans="1:19" ht="15" customHeight="1" x14ac:dyDescent="0.3">
      <c r="A232">
        <v>231</v>
      </c>
      <c r="B232" t="s">
        <v>469</v>
      </c>
      <c r="C232">
        <v>2448060</v>
      </c>
      <c r="D232" t="s">
        <v>114</v>
      </c>
      <c r="E232">
        <v>28</v>
      </c>
      <c r="F232" t="s">
        <v>75</v>
      </c>
      <c r="G232" s="10">
        <v>45326</v>
      </c>
      <c r="H232" t="s">
        <v>38</v>
      </c>
      <c r="I232" t="s">
        <v>82</v>
      </c>
      <c r="J232" t="s">
        <v>48</v>
      </c>
      <c r="K232" t="s">
        <v>144</v>
      </c>
      <c r="L232" t="s">
        <v>60</v>
      </c>
      <c r="M232" t="s">
        <v>122</v>
      </c>
      <c r="N232">
        <v>2</v>
      </c>
      <c r="O232" t="s">
        <v>117</v>
      </c>
      <c r="P232" s="11">
        <v>6600</v>
      </c>
      <c r="Q232" t="s">
        <v>71</v>
      </c>
      <c r="R232" s="11">
        <f t="shared" si="6"/>
        <v>6600</v>
      </c>
      <c r="S232" t="str">
        <f t="shared" si="7"/>
        <v>Repeat</v>
      </c>
    </row>
    <row r="233" spans="1:19" ht="15" customHeight="1" x14ac:dyDescent="0.3">
      <c r="A233">
        <v>232</v>
      </c>
      <c r="B233" t="s">
        <v>469</v>
      </c>
      <c r="C233">
        <v>2448060</v>
      </c>
      <c r="D233" t="s">
        <v>114</v>
      </c>
      <c r="E233">
        <v>35</v>
      </c>
      <c r="F233" t="s">
        <v>76</v>
      </c>
      <c r="G233" s="10">
        <v>45326</v>
      </c>
      <c r="H233" t="s">
        <v>38</v>
      </c>
      <c r="I233" t="s">
        <v>82</v>
      </c>
      <c r="J233" t="s">
        <v>48</v>
      </c>
      <c r="K233" t="s">
        <v>144</v>
      </c>
      <c r="L233" t="s">
        <v>60</v>
      </c>
      <c r="M233" t="s">
        <v>122</v>
      </c>
      <c r="N233">
        <v>8</v>
      </c>
      <c r="O233" t="s">
        <v>117</v>
      </c>
      <c r="P233" s="11">
        <v>6600</v>
      </c>
      <c r="Q233" t="s">
        <v>250</v>
      </c>
      <c r="R233" s="11">
        <f t="shared" si="6"/>
        <v>6600</v>
      </c>
      <c r="S233" t="str">
        <f t="shared" si="7"/>
        <v>Repeat</v>
      </c>
    </row>
    <row r="234" spans="1:19" ht="15" customHeight="1" x14ac:dyDescent="0.3">
      <c r="A234">
        <v>233</v>
      </c>
      <c r="B234" t="s">
        <v>469</v>
      </c>
      <c r="C234">
        <v>2448060</v>
      </c>
      <c r="D234" t="s">
        <v>114</v>
      </c>
      <c r="E234">
        <v>21</v>
      </c>
      <c r="F234" t="s">
        <v>75</v>
      </c>
      <c r="G234" s="10">
        <v>45326</v>
      </c>
      <c r="H234" t="s">
        <v>38</v>
      </c>
      <c r="I234" t="s">
        <v>82</v>
      </c>
      <c r="J234" t="s">
        <v>48</v>
      </c>
      <c r="K234" t="s">
        <v>144</v>
      </c>
      <c r="L234" t="s">
        <v>60</v>
      </c>
      <c r="M234" t="s">
        <v>122</v>
      </c>
      <c r="N234">
        <v>4</v>
      </c>
      <c r="O234" t="s">
        <v>117</v>
      </c>
      <c r="P234" s="11">
        <v>6600</v>
      </c>
      <c r="Q234" t="s">
        <v>470</v>
      </c>
      <c r="R234" s="11">
        <f t="shared" si="6"/>
        <v>6600</v>
      </c>
      <c r="S234" t="str">
        <f t="shared" si="7"/>
        <v>Repeat</v>
      </c>
    </row>
    <row r="235" spans="1:19" ht="15" customHeight="1" x14ac:dyDescent="0.3">
      <c r="A235">
        <v>234</v>
      </c>
      <c r="B235" t="s">
        <v>471</v>
      </c>
      <c r="C235">
        <v>3863417</v>
      </c>
      <c r="D235" t="s">
        <v>114</v>
      </c>
      <c r="E235">
        <v>56</v>
      </c>
      <c r="F235" t="s">
        <v>77</v>
      </c>
      <c r="G235" s="10">
        <v>45326</v>
      </c>
      <c r="H235" t="s">
        <v>38</v>
      </c>
      <c r="I235" t="s">
        <v>82</v>
      </c>
      <c r="J235" t="s">
        <v>48</v>
      </c>
      <c r="K235" t="s">
        <v>144</v>
      </c>
      <c r="L235" t="s">
        <v>60</v>
      </c>
      <c r="M235" t="s">
        <v>122</v>
      </c>
      <c r="N235">
        <v>5</v>
      </c>
      <c r="O235" t="s">
        <v>117</v>
      </c>
      <c r="P235" s="11">
        <v>6600</v>
      </c>
      <c r="Q235" t="s">
        <v>62</v>
      </c>
      <c r="R235" s="11">
        <f t="shared" si="6"/>
        <v>6600</v>
      </c>
      <c r="S235" t="str">
        <f t="shared" si="7"/>
        <v>One-Time</v>
      </c>
    </row>
    <row r="236" spans="1:19" ht="15" customHeight="1" x14ac:dyDescent="0.3">
      <c r="A236">
        <v>235</v>
      </c>
      <c r="B236" t="s">
        <v>472</v>
      </c>
      <c r="C236">
        <v>282991</v>
      </c>
      <c r="D236" t="s">
        <v>114</v>
      </c>
      <c r="E236">
        <v>26</v>
      </c>
      <c r="F236" t="s">
        <v>75</v>
      </c>
      <c r="G236" s="10">
        <v>45326</v>
      </c>
      <c r="H236" t="s">
        <v>38</v>
      </c>
      <c r="I236" t="s">
        <v>82</v>
      </c>
      <c r="J236" t="s">
        <v>48</v>
      </c>
      <c r="K236" t="s">
        <v>144</v>
      </c>
      <c r="L236" t="s">
        <v>60</v>
      </c>
      <c r="M236" t="s">
        <v>116</v>
      </c>
      <c r="N236">
        <v>6</v>
      </c>
      <c r="O236" t="s">
        <v>117</v>
      </c>
      <c r="P236" s="11">
        <v>6600</v>
      </c>
      <c r="Q236" t="s">
        <v>66</v>
      </c>
      <c r="R236" s="11">
        <f t="shared" si="6"/>
        <v>6600</v>
      </c>
      <c r="S236" t="str">
        <f t="shared" si="7"/>
        <v>One-Time</v>
      </c>
    </row>
    <row r="237" spans="1:19" ht="15" customHeight="1" x14ac:dyDescent="0.3">
      <c r="A237">
        <v>236</v>
      </c>
      <c r="B237" t="s">
        <v>473</v>
      </c>
      <c r="C237">
        <v>2276390</v>
      </c>
      <c r="D237" t="s">
        <v>114</v>
      </c>
      <c r="E237">
        <v>37</v>
      </c>
      <c r="F237" t="s">
        <v>76</v>
      </c>
      <c r="G237" s="10">
        <v>45326</v>
      </c>
      <c r="H237" t="s">
        <v>38</v>
      </c>
      <c r="I237" t="s">
        <v>82</v>
      </c>
      <c r="J237" t="s">
        <v>48</v>
      </c>
      <c r="K237" t="s">
        <v>198</v>
      </c>
      <c r="L237" t="s">
        <v>60</v>
      </c>
      <c r="M237" t="s">
        <v>116</v>
      </c>
      <c r="N237">
        <v>31</v>
      </c>
      <c r="O237" t="s">
        <v>117</v>
      </c>
      <c r="P237" s="11">
        <v>6600</v>
      </c>
      <c r="Q237" t="s">
        <v>66</v>
      </c>
      <c r="R237" s="11">
        <f t="shared" si="6"/>
        <v>6600</v>
      </c>
      <c r="S237" t="str">
        <f t="shared" si="7"/>
        <v>One-Time</v>
      </c>
    </row>
    <row r="238" spans="1:19" ht="15" customHeight="1" x14ac:dyDescent="0.3">
      <c r="A238">
        <v>237</v>
      </c>
      <c r="B238" t="s">
        <v>474</v>
      </c>
      <c r="C238">
        <v>89951</v>
      </c>
      <c r="D238" t="s">
        <v>114</v>
      </c>
      <c r="E238">
        <v>63</v>
      </c>
      <c r="F238" t="s">
        <v>77</v>
      </c>
      <c r="G238" s="10">
        <v>45326</v>
      </c>
      <c r="H238" t="s">
        <v>38</v>
      </c>
      <c r="I238" t="s">
        <v>82</v>
      </c>
      <c r="J238" t="s">
        <v>48</v>
      </c>
      <c r="K238" t="s">
        <v>198</v>
      </c>
      <c r="L238" t="s">
        <v>60</v>
      </c>
      <c r="M238" t="s">
        <v>116</v>
      </c>
      <c r="N238">
        <v>2</v>
      </c>
      <c r="O238" t="s">
        <v>117</v>
      </c>
      <c r="P238" s="11">
        <v>6600</v>
      </c>
      <c r="Q238" t="s">
        <v>475</v>
      </c>
      <c r="R238" s="11">
        <f t="shared" si="6"/>
        <v>6600</v>
      </c>
      <c r="S238" t="str">
        <f t="shared" si="7"/>
        <v>One-Time</v>
      </c>
    </row>
    <row r="239" spans="1:19" ht="15" customHeight="1" x14ac:dyDescent="0.3">
      <c r="A239">
        <v>238</v>
      </c>
      <c r="B239" t="s">
        <v>476</v>
      </c>
      <c r="C239">
        <v>2696952</v>
      </c>
      <c r="D239" t="s">
        <v>114</v>
      </c>
      <c r="E239">
        <v>35</v>
      </c>
      <c r="F239" t="s">
        <v>76</v>
      </c>
      <c r="G239" s="10">
        <v>45326</v>
      </c>
      <c r="H239" t="s">
        <v>38</v>
      </c>
      <c r="I239" t="s">
        <v>85</v>
      </c>
      <c r="J239" t="s">
        <v>48</v>
      </c>
      <c r="K239" t="s">
        <v>198</v>
      </c>
      <c r="L239" t="s">
        <v>60</v>
      </c>
      <c r="M239" t="s">
        <v>116</v>
      </c>
      <c r="N239">
        <v>5</v>
      </c>
      <c r="O239" t="s">
        <v>117</v>
      </c>
      <c r="P239" s="11">
        <v>6600</v>
      </c>
      <c r="Q239" t="s">
        <v>477</v>
      </c>
      <c r="R239" s="11">
        <f t="shared" si="6"/>
        <v>0</v>
      </c>
      <c r="S239" t="str">
        <f t="shared" si="7"/>
        <v>One-Time</v>
      </c>
    </row>
    <row r="240" spans="1:19" ht="15" customHeight="1" x14ac:dyDescent="0.3">
      <c r="A240">
        <v>239</v>
      </c>
      <c r="B240" t="s">
        <v>478</v>
      </c>
      <c r="C240">
        <v>9622079</v>
      </c>
      <c r="D240" t="s">
        <v>114</v>
      </c>
      <c r="E240">
        <v>18</v>
      </c>
      <c r="F240" t="s">
        <v>75</v>
      </c>
      <c r="G240" s="10">
        <v>45326</v>
      </c>
      <c r="H240" t="s">
        <v>38</v>
      </c>
      <c r="I240" t="s">
        <v>82</v>
      </c>
      <c r="J240" t="s">
        <v>48</v>
      </c>
      <c r="K240" t="s">
        <v>198</v>
      </c>
      <c r="L240" t="s">
        <v>60</v>
      </c>
      <c r="M240" t="s">
        <v>116</v>
      </c>
      <c r="N240">
        <v>5</v>
      </c>
      <c r="O240" t="s">
        <v>117</v>
      </c>
      <c r="P240" s="11">
        <v>6600</v>
      </c>
      <c r="Q240" t="s">
        <v>62</v>
      </c>
      <c r="R240" s="11">
        <f t="shared" si="6"/>
        <v>6600</v>
      </c>
      <c r="S240" t="str">
        <f t="shared" si="7"/>
        <v>One-Time</v>
      </c>
    </row>
    <row r="241" spans="1:19" ht="15" customHeight="1" x14ac:dyDescent="0.3">
      <c r="A241">
        <v>240</v>
      </c>
      <c r="B241" t="s">
        <v>479</v>
      </c>
      <c r="C241">
        <v>8773331</v>
      </c>
      <c r="D241" t="s">
        <v>114</v>
      </c>
      <c r="E241">
        <v>33</v>
      </c>
      <c r="F241" t="s">
        <v>76</v>
      </c>
      <c r="G241" s="10">
        <v>45326</v>
      </c>
      <c r="H241" t="s">
        <v>38</v>
      </c>
      <c r="I241" t="s">
        <v>82</v>
      </c>
      <c r="J241" t="s">
        <v>48</v>
      </c>
      <c r="K241" t="s">
        <v>198</v>
      </c>
      <c r="L241" t="s">
        <v>60</v>
      </c>
      <c r="M241" t="s">
        <v>116</v>
      </c>
      <c r="N241">
        <v>8</v>
      </c>
      <c r="O241" t="s">
        <v>117</v>
      </c>
      <c r="P241" s="11">
        <v>6600</v>
      </c>
      <c r="Q241" t="s">
        <v>346</v>
      </c>
      <c r="R241" s="11">
        <f t="shared" si="6"/>
        <v>6600</v>
      </c>
      <c r="S241" t="str">
        <f t="shared" si="7"/>
        <v>One-Time</v>
      </c>
    </row>
    <row r="242" spans="1:19" ht="15" customHeight="1" x14ac:dyDescent="0.3">
      <c r="A242">
        <v>241</v>
      </c>
      <c r="B242" t="s">
        <v>480</v>
      </c>
      <c r="C242">
        <v>1035887</v>
      </c>
      <c r="D242" t="s">
        <v>114</v>
      </c>
      <c r="E242">
        <v>55</v>
      </c>
      <c r="F242" t="s">
        <v>77</v>
      </c>
      <c r="G242" s="10">
        <v>45326</v>
      </c>
      <c r="H242" t="s">
        <v>38</v>
      </c>
      <c r="I242" t="s">
        <v>82</v>
      </c>
      <c r="J242" t="s">
        <v>48</v>
      </c>
      <c r="K242" t="s">
        <v>198</v>
      </c>
      <c r="L242" t="s">
        <v>60</v>
      </c>
      <c r="M242" t="s">
        <v>116</v>
      </c>
      <c r="N242">
        <v>9</v>
      </c>
      <c r="O242" t="s">
        <v>117</v>
      </c>
      <c r="P242" s="11">
        <v>6600</v>
      </c>
      <c r="Q242" t="s">
        <v>481</v>
      </c>
      <c r="R242" s="11">
        <f t="shared" si="6"/>
        <v>6600</v>
      </c>
      <c r="S242" t="str">
        <f t="shared" si="7"/>
        <v>One-Time</v>
      </c>
    </row>
    <row r="243" spans="1:19" ht="15" customHeight="1" x14ac:dyDescent="0.3">
      <c r="A243">
        <v>242</v>
      </c>
      <c r="B243" t="s">
        <v>482</v>
      </c>
      <c r="C243">
        <v>8863009</v>
      </c>
      <c r="D243" t="s">
        <v>114</v>
      </c>
      <c r="E243">
        <v>20</v>
      </c>
      <c r="F243" t="s">
        <v>75</v>
      </c>
      <c r="G243" s="10">
        <v>45326</v>
      </c>
      <c r="H243" t="s">
        <v>38</v>
      </c>
      <c r="I243" t="s">
        <v>85</v>
      </c>
      <c r="J243" t="s">
        <v>48</v>
      </c>
      <c r="K243" t="s">
        <v>198</v>
      </c>
      <c r="L243" t="s">
        <v>60</v>
      </c>
      <c r="M243" t="s">
        <v>116</v>
      </c>
      <c r="N243">
        <v>8</v>
      </c>
      <c r="O243" t="s">
        <v>117</v>
      </c>
      <c r="P243" s="11">
        <v>6600</v>
      </c>
      <c r="Q243" t="s">
        <v>483</v>
      </c>
      <c r="R243" s="11">
        <f t="shared" si="6"/>
        <v>0</v>
      </c>
      <c r="S243" t="str">
        <f t="shared" si="7"/>
        <v>Repeat</v>
      </c>
    </row>
    <row r="244" spans="1:19" ht="15" customHeight="1" x14ac:dyDescent="0.3">
      <c r="A244">
        <v>243</v>
      </c>
      <c r="B244" t="s">
        <v>482</v>
      </c>
      <c r="C244">
        <v>8863009</v>
      </c>
      <c r="D244" t="s">
        <v>114</v>
      </c>
      <c r="E244">
        <v>48</v>
      </c>
      <c r="F244" t="s">
        <v>76</v>
      </c>
      <c r="G244" s="10">
        <v>45326</v>
      </c>
      <c r="H244" t="s">
        <v>38</v>
      </c>
      <c r="I244" t="s">
        <v>85</v>
      </c>
      <c r="J244" t="s">
        <v>48</v>
      </c>
      <c r="K244" t="s">
        <v>198</v>
      </c>
      <c r="L244" t="s">
        <v>60</v>
      </c>
      <c r="M244" t="s">
        <v>116</v>
      </c>
      <c r="N244">
        <v>3</v>
      </c>
      <c r="O244" t="s">
        <v>117</v>
      </c>
      <c r="P244" s="11">
        <v>6900</v>
      </c>
      <c r="Q244" t="s">
        <v>63</v>
      </c>
      <c r="R244" s="11">
        <f t="shared" si="6"/>
        <v>0</v>
      </c>
      <c r="S244" t="str">
        <f t="shared" si="7"/>
        <v>Repeat</v>
      </c>
    </row>
    <row r="245" spans="1:19" ht="15" customHeight="1" x14ac:dyDescent="0.3">
      <c r="A245">
        <v>244</v>
      </c>
      <c r="B245" t="s">
        <v>482</v>
      </c>
      <c r="C245">
        <v>8863009</v>
      </c>
      <c r="D245" t="s">
        <v>114</v>
      </c>
      <c r="E245">
        <v>48</v>
      </c>
      <c r="F245" t="s">
        <v>76</v>
      </c>
      <c r="G245" s="10">
        <v>45326</v>
      </c>
      <c r="H245" t="s">
        <v>38</v>
      </c>
      <c r="I245" t="s">
        <v>85</v>
      </c>
      <c r="J245" t="s">
        <v>48</v>
      </c>
      <c r="K245" t="s">
        <v>198</v>
      </c>
      <c r="L245" t="s">
        <v>60</v>
      </c>
      <c r="M245" t="s">
        <v>116</v>
      </c>
      <c r="N245">
        <v>4</v>
      </c>
      <c r="O245" t="s">
        <v>117</v>
      </c>
      <c r="P245" s="11">
        <v>6900</v>
      </c>
      <c r="Q245" t="s">
        <v>63</v>
      </c>
      <c r="R245" s="11">
        <f t="shared" si="6"/>
        <v>0</v>
      </c>
      <c r="S245" t="str">
        <f t="shared" si="7"/>
        <v>Repeat</v>
      </c>
    </row>
    <row r="246" spans="1:19" ht="15" customHeight="1" x14ac:dyDescent="0.3">
      <c r="A246">
        <v>245</v>
      </c>
      <c r="B246" t="s">
        <v>484</v>
      </c>
      <c r="C246">
        <v>5771983</v>
      </c>
      <c r="D246" t="s">
        <v>114</v>
      </c>
      <c r="E246">
        <v>43</v>
      </c>
      <c r="F246" t="s">
        <v>76</v>
      </c>
      <c r="G246" s="10">
        <v>45326</v>
      </c>
      <c r="H246" t="s">
        <v>38</v>
      </c>
      <c r="I246" t="s">
        <v>82</v>
      </c>
      <c r="J246" t="s">
        <v>48</v>
      </c>
      <c r="K246" t="s">
        <v>198</v>
      </c>
      <c r="L246" t="s">
        <v>60</v>
      </c>
      <c r="M246" t="s">
        <v>116</v>
      </c>
      <c r="N246">
        <v>4</v>
      </c>
      <c r="O246" t="s">
        <v>117</v>
      </c>
      <c r="P246" s="11">
        <v>6900</v>
      </c>
      <c r="Q246" t="s">
        <v>485</v>
      </c>
      <c r="R246" s="11">
        <f t="shared" si="6"/>
        <v>6900</v>
      </c>
      <c r="S246" t="str">
        <f t="shared" si="7"/>
        <v>One-Time</v>
      </c>
    </row>
    <row r="247" spans="1:19" ht="15" customHeight="1" x14ac:dyDescent="0.3">
      <c r="A247">
        <v>246</v>
      </c>
      <c r="B247" t="s">
        <v>486</v>
      </c>
      <c r="C247">
        <v>442536</v>
      </c>
      <c r="D247" t="s">
        <v>114</v>
      </c>
      <c r="E247">
        <v>42</v>
      </c>
      <c r="F247" t="s">
        <v>76</v>
      </c>
      <c r="G247" s="10">
        <v>45326</v>
      </c>
      <c r="H247" t="s">
        <v>38</v>
      </c>
      <c r="I247" t="s">
        <v>82</v>
      </c>
      <c r="J247" t="s">
        <v>48</v>
      </c>
      <c r="K247" t="s">
        <v>198</v>
      </c>
      <c r="L247" t="s">
        <v>60</v>
      </c>
      <c r="M247" t="s">
        <v>116</v>
      </c>
      <c r="N247">
        <v>9</v>
      </c>
      <c r="O247" t="s">
        <v>117</v>
      </c>
      <c r="P247" s="11">
        <v>6900</v>
      </c>
      <c r="Q247" t="s">
        <v>487</v>
      </c>
      <c r="R247" s="11">
        <f t="shared" si="6"/>
        <v>6900</v>
      </c>
      <c r="S247" t="str">
        <f t="shared" si="7"/>
        <v>One-Time</v>
      </c>
    </row>
    <row r="248" spans="1:19" ht="15" customHeight="1" x14ac:dyDescent="0.3">
      <c r="A248">
        <v>247</v>
      </c>
      <c r="B248" t="s">
        <v>488</v>
      </c>
      <c r="C248">
        <v>5850336</v>
      </c>
      <c r="D248" t="s">
        <v>114</v>
      </c>
      <c r="E248">
        <v>35</v>
      </c>
      <c r="F248" t="s">
        <v>76</v>
      </c>
      <c r="G248" s="10">
        <v>45326</v>
      </c>
      <c r="H248" t="s">
        <v>38</v>
      </c>
      <c r="I248" t="s">
        <v>82</v>
      </c>
      <c r="J248" t="s">
        <v>48</v>
      </c>
      <c r="K248" t="s">
        <v>198</v>
      </c>
      <c r="L248" t="s">
        <v>60</v>
      </c>
      <c r="M248" t="s">
        <v>116</v>
      </c>
      <c r="N248">
        <v>8</v>
      </c>
      <c r="O248" t="s">
        <v>117</v>
      </c>
      <c r="P248" s="11">
        <v>6900</v>
      </c>
      <c r="Q248" t="s">
        <v>489</v>
      </c>
      <c r="R248" s="11">
        <f t="shared" si="6"/>
        <v>6900</v>
      </c>
      <c r="S248" t="str">
        <f t="shared" si="7"/>
        <v>One-Time</v>
      </c>
    </row>
    <row r="249" spans="1:19" ht="15" customHeight="1" x14ac:dyDescent="0.3">
      <c r="A249">
        <v>248</v>
      </c>
      <c r="B249" t="s">
        <v>490</v>
      </c>
      <c r="C249">
        <v>7926847</v>
      </c>
      <c r="D249" t="s">
        <v>114</v>
      </c>
      <c r="E249">
        <v>32</v>
      </c>
      <c r="F249" t="s">
        <v>76</v>
      </c>
      <c r="G249" s="10">
        <v>45326</v>
      </c>
      <c r="H249" t="s">
        <v>38</v>
      </c>
      <c r="I249" t="s">
        <v>82</v>
      </c>
      <c r="J249" t="s">
        <v>48</v>
      </c>
      <c r="K249" t="s">
        <v>198</v>
      </c>
      <c r="L249" t="s">
        <v>60</v>
      </c>
      <c r="M249" t="s">
        <v>116</v>
      </c>
      <c r="N249">
        <v>3</v>
      </c>
      <c r="O249" t="s">
        <v>117</v>
      </c>
      <c r="P249" s="11">
        <v>6900</v>
      </c>
      <c r="Q249" t="s">
        <v>68</v>
      </c>
      <c r="R249" s="11">
        <f t="shared" si="6"/>
        <v>6900</v>
      </c>
      <c r="S249" t="str">
        <f t="shared" si="7"/>
        <v>One-Time</v>
      </c>
    </row>
    <row r="250" spans="1:19" ht="15" customHeight="1" x14ac:dyDescent="0.3">
      <c r="A250">
        <v>249</v>
      </c>
      <c r="B250" t="s">
        <v>491</v>
      </c>
      <c r="C250">
        <v>1525291</v>
      </c>
      <c r="D250" t="s">
        <v>114</v>
      </c>
      <c r="E250">
        <v>75</v>
      </c>
      <c r="F250" t="s">
        <v>77</v>
      </c>
      <c r="G250" s="10">
        <v>45326</v>
      </c>
      <c r="H250" t="s">
        <v>38</v>
      </c>
      <c r="I250" t="s">
        <v>82</v>
      </c>
      <c r="J250" t="s">
        <v>48</v>
      </c>
      <c r="K250" t="s">
        <v>198</v>
      </c>
      <c r="L250" t="s">
        <v>60</v>
      </c>
      <c r="M250" t="s">
        <v>116</v>
      </c>
      <c r="N250">
        <v>6</v>
      </c>
      <c r="O250" t="s">
        <v>117</v>
      </c>
      <c r="P250" s="11">
        <v>6900</v>
      </c>
      <c r="Q250" t="s">
        <v>64</v>
      </c>
      <c r="R250" s="11">
        <f t="shared" si="6"/>
        <v>6900</v>
      </c>
      <c r="S250" t="str">
        <f t="shared" si="7"/>
        <v>One-Time</v>
      </c>
    </row>
    <row r="251" spans="1:19" ht="15" customHeight="1" x14ac:dyDescent="0.3">
      <c r="A251">
        <v>250</v>
      </c>
      <c r="B251" t="s">
        <v>492</v>
      </c>
      <c r="C251">
        <v>4283278</v>
      </c>
      <c r="D251" t="s">
        <v>114</v>
      </c>
      <c r="E251">
        <v>28</v>
      </c>
      <c r="F251" t="s">
        <v>75</v>
      </c>
      <c r="G251" s="10">
        <v>45326</v>
      </c>
      <c r="H251" t="s">
        <v>38</v>
      </c>
      <c r="I251" t="s">
        <v>82</v>
      </c>
      <c r="J251" t="s">
        <v>48</v>
      </c>
      <c r="K251" t="s">
        <v>171</v>
      </c>
      <c r="L251" t="s">
        <v>60</v>
      </c>
      <c r="M251" t="s">
        <v>116</v>
      </c>
      <c r="N251">
        <v>9</v>
      </c>
      <c r="O251" t="s">
        <v>117</v>
      </c>
      <c r="P251" s="11">
        <v>6900</v>
      </c>
      <c r="Q251" t="s">
        <v>65</v>
      </c>
      <c r="R251" s="11">
        <f t="shared" si="6"/>
        <v>6900</v>
      </c>
      <c r="S251" t="str">
        <f t="shared" si="7"/>
        <v>One-Time</v>
      </c>
    </row>
    <row r="252" spans="1:19" ht="15" customHeight="1" x14ac:dyDescent="0.3">
      <c r="A252">
        <v>251</v>
      </c>
      <c r="B252" t="s">
        <v>493</v>
      </c>
      <c r="C252">
        <v>4667355</v>
      </c>
      <c r="D252" t="s">
        <v>114</v>
      </c>
      <c r="E252">
        <v>64</v>
      </c>
      <c r="F252" t="s">
        <v>77</v>
      </c>
      <c r="G252" s="10">
        <v>45326</v>
      </c>
      <c r="H252" t="s">
        <v>38</v>
      </c>
      <c r="I252" t="s">
        <v>82</v>
      </c>
      <c r="J252" t="s">
        <v>48</v>
      </c>
      <c r="K252" t="s">
        <v>171</v>
      </c>
      <c r="L252" t="s">
        <v>60</v>
      </c>
      <c r="M252" t="s">
        <v>116</v>
      </c>
      <c r="N252">
        <v>2</v>
      </c>
      <c r="O252" t="s">
        <v>117</v>
      </c>
      <c r="P252" s="11">
        <v>6900</v>
      </c>
      <c r="Q252" t="s">
        <v>64</v>
      </c>
      <c r="R252" s="11">
        <f t="shared" si="6"/>
        <v>6900</v>
      </c>
      <c r="S252" t="str">
        <f t="shared" si="7"/>
        <v>One-Time</v>
      </c>
    </row>
    <row r="253" spans="1:19" ht="15" customHeight="1" x14ac:dyDescent="0.3">
      <c r="A253">
        <v>252</v>
      </c>
      <c r="B253" t="s">
        <v>494</v>
      </c>
      <c r="C253">
        <v>85101</v>
      </c>
      <c r="D253" t="s">
        <v>114</v>
      </c>
      <c r="E253">
        <v>29</v>
      </c>
      <c r="F253" t="s">
        <v>75</v>
      </c>
      <c r="G253" s="10">
        <v>45326</v>
      </c>
      <c r="H253" t="s">
        <v>38</v>
      </c>
      <c r="I253" t="s">
        <v>82</v>
      </c>
      <c r="J253" t="s">
        <v>48</v>
      </c>
      <c r="K253" t="s">
        <v>171</v>
      </c>
      <c r="L253" t="s">
        <v>60</v>
      </c>
      <c r="M253" t="s">
        <v>116</v>
      </c>
      <c r="N253">
        <v>5</v>
      </c>
      <c r="O253" t="s">
        <v>117</v>
      </c>
      <c r="P253" s="11">
        <v>6900</v>
      </c>
      <c r="Q253" t="s">
        <v>64</v>
      </c>
      <c r="R253" s="11">
        <f t="shared" si="6"/>
        <v>6900</v>
      </c>
      <c r="S253" t="str">
        <f t="shared" si="7"/>
        <v>One-Time</v>
      </c>
    </row>
    <row r="254" spans="1:19" ht="15" customHeight="1" x14ac:dyDescent="0.3">
      <c r="A254">
        <v>253</v>
      </c>
      <c r="B254" t="s">
        <v>495</v>
      </c>
      <c r="C254">
        <v>4215381</v>
      </c>
      <c r="D254" t="s">
        <v>392</v>
      </c>
      <c r="E254">
        <v>41</v>
      </c>
      <c r="F254" t="s">
        <v>76</v>
      </c>
      <c r="G254" s="10">
        <v>45326</v>
      </c>
      <c r="H254" t="s">
        <v>38</v>
      </c>
      <c r="I254" t="s">
        <v>82</v>
      </c>
      <c r="J254" t="s">
        <v>48</v>
      </c>
      <c r="K254" t="s">
        <v>171</v>
      </c>
      <c r="L254" t="s">
        <v>60</v>
      </c>
      <c r="M254" t="s">
        <v>116</v>
      </c>
      <c r="N254">
        <v>6</v>
      </c>
      <c r="O254" t="s">
        <v>117</v>
      </c>
      <c r="P254" s="11">
        <v>6900</v>
      </c>
      <c r="Q254" t="s">
        <v>307</v>
      </c>
      <c r="R254" s="11">
        <f t="shared" si="6"/>
        <v>6900</v>
      </c>
      <c r="S254" t="str">
        <f t="shared" si="7"/>
        <v>One-Time</v>
      </c>
    </row>
    <row r="255" spans="1:19" ht="15" customHeight="1" x14ac:dyDescent="0.3">
      <c r="A255">
        <v>254</v>
      </c>
      <c r="B255" t="s">
        <v>496</v>
      </c>
      <c r="C255">
        <v>8558087</v>
      </c>
      <c r="D255" t="s">
        <v>392</v>
      </c>
      <c r="E255">
        <v>40</v>
      </c>
      <c r="F255" t="s">
        <v>76</v>
      </c>
      <c r="G255" s="10">
        <v>45326</v>
      </c>
      <c r="H255" t="s">
        <v>38</v>
      </c>
      <c r="I255" t="s">
        <v>82</v>
      </c>
      <c r="J255" t="s">
        <v>48</v>
      </c>
      <c r="K255" t="s">
        <v>171</v>
      </c>
      <c r="L255" t="s">
        <v>60</v>
      </c>
      <c r="M255" t="s">
        <v>116</v>
      </c>
      <c r="N255">
        <v>9</v>
      </c>
      <c r="O255" t="s">
        <v>117</v>
      </c>
      <c r="P255" s="11">
        <v>6900</v>
      </c>
      <c r="Q255" t="s">
        <v>62</v>
      </c>
      <c r="R255" s="11">
        <f t="shared" si="6"/>
        <v>6900</v>
      </c>
      <c r="S255" t="str">
        <f t="shared" si="7"/>
        <v>One-Time</v>
      </c>
    </row>
    <row r="256" spans="1:19" ht="15" customHeight="1" x14ac:dyDescent="0.3">
      <c r="A256">
        <v>255</v>
      </c>
      <c r="B256" t="s">
        <v>497</v>
      </c>
      <c r="C256">
        <v>5827792</v>
      </c>
      <c r="D256" t="s">
        <v>392</v>
      </c>
      <c r="E256">
        <v>18</v>
      </c>
      <c r="F256" t="s">
        <v>75</v>
      </c>
      <c r="G256" s="10">
        <v>45326</v>
      </c>
      <c r="H256" t="s">
        <v>38</v>
      </c>
      <c r="I256" t="s">
        <v>82</v>
      </c>
      <c r="J256" t="s">
        <v>48</v>
      </c>
      <c r="K256" t="s">
        <v>171</v>
      </c>
      <c r="L256" t="s">
        <v>60</v>
      </c>
      <c r="M256" t="s">
        <v>116</v>
      </c>
      <c r="N256">
        <v>7</v>
      </c>
      <c r="O256" t="s">
        <v>117</v>
      </c>
      <c r="P256" s="11">
        <v>6900</v>
      </c>
      <c r="Q256" t="s">
        <v>67</v>
      </c>
      <c r="R256" s="11">
        <f t="shared" si="6"/>
        <v>6900</v>
      </c>
      <c r="S256" t="str">
        <f t="shared" si="7"/>
        <v>One-Time</v>
      </c>
    </row>
    <row r="257" spans="1:19" ht="15" customHeight="1" x14ac:dyDescent="0.3">
      <c r="A257">
        <v>256</v>
      </c>
      <c r="B257" t="s">
        <v>498</v>
      </c>
      <c r="C257">
        <v>6723060</v>
      </c>
      <c r="D257" t="s">
        <v>392</v>
      </c>
      <c r="E257">
        <v>31</v>
      </c>
      <c r="F257" t="s">
        <v>76</v>
      </c>
      <c r="G257" s="10">
        <v>45326</v>
      </c>
      <c r="H257" t="s">
        <v>38</v>
      </c>
      <c r="I257" t="s">
        <v>82</v>
      </c>
      <c r="J257" t="s">
        <v>48</v>
      </c>
      <c r="K257" t="s">
        <v>171</v>
      </c>
      <c r="L257" t="s">
        <v>60</v>
      </c>
      <c r="M257" t="s">
        <v>116</v>
      </c>
      <c r="N257">
        <v>81</v>
      </c>
      <c r="O257" t="s">
        <v>117</v>
      </c>
      <c r="P257" s="11">
        <v>6900</v>
      </c>
      <c r="Q257" t="s">
        <v>499</v>
      </c>
      <c r="R257" s="11">
        <f t="shared" si="6"/>
        <v>6900</v>
      </c>
      <c r="S257" t="str">
        <f t="shared" si="7"/>
        <v>One-Time</v>
      </c>
    </row>
    <row r="258" spans="1:19" ht="15" customHeight="1" x14ac:dyDescent="0.3">
      <c r="A258">
        <v>257</v>
      </c>
      <c r="B258" t="s">
        <v>500</v>
      </c>
      <c r="C258">
        <v>2944135</v>
      </c>
      <c r="D258" t="s">
        <v>114</v>
      </c>
      <c r="E258">
        <v>44</v>
      </c>
      <c r="F258" t="s">
        <v>76</v>
      </c>
      <c r="G258" s="10">
        <v>45366</v>
      </c>
      <c r="H258" t="s">
        <v>39</v>
      </c>
      <c r="I258" t="s">
        <v>82</v>
      </c>
      <c r="J258" t="s">
        <v>48</v>
      </c>
      <c r="K258" t="s">
        <v>171</v>
      </c>
      <c r="L258" t="s">
        <v>60</v>
      </c>
      <c r="M258" t="s">
        <v>116</v>
      </c>
      <c r="N258">
        <v>24</v>
      </c>
      <c r="O258" t="s">
        <v>117</v>
      </c>
      <c r="P258" s="11">
        <v>6900</v>
      </c>
      <c r="Q258" t="s">
        <v>501</v>
      </c>
      <c r="R258" s="11">
        <f t="shared" ref="R258:R321" si="8">IF(I258="Delivered",P258,0)</f>
        <v>6900</v>
      </c>
      <c r="S258" t="str">
        <f t="shared" ref="S258:S321" si="9">IF(COUNTIF($C$2:$C$1501,C258)&gt;1,"Repeat","One-Time")</f>
        <v>One-Time</v>
      </c>
    </row>
    <row r="259" spans="1:19" ht="15" customHeight="1" x14ac:dyDescent="0.3">
      <c r="A259">
        <v>258</v>
      </c>
      <c r="B259" t="s">
        <v>502</v>
      </c>
      <c r="C259">
        <v>5156440</v>
      </c>
      <c r="D259" t="s">
        <v>392</v>
      </c>
      <c r="E259">
        <v>32</v>
      </c>
      <c r="F259" t="s">
        <v>76</v>
      </c>
      <c r="G259" s="10">
        <v>45367</v>
      </c>
      <c r="H259" t="s">
        <v>39</v>
      </c>
      <c r="I259" t="s">
        <v>82</v>
      </c>
      <c r="J259" t="s">
        <v>48</v>
      </c>
      <c r="K259" t="s">
        <v>171</v>
      </c>
      <c r="L259" t="s">
        <v>60</v>
      </c>
      <c r="M259" t="s">
        <v>116</v>
      </c>
      <c r="N259">
        <v>56</v>
      </c>
      <c r="O259" t="s">
        <v>117</v>
      </c>
      <c r="P259" s="11">
        <v>6900</v>
      </c>
      <c r="Q259" t="s">
        <v>503</v>
      </c>
      <c r="R259" s="11">
        <f t="shared" si="8"/>
        <v>6900</v>
      </c>
      <c r="S259" t="str">
        <f t="shared" si="9"/>
        <v>One-Time</v>
      </c>
    </row>
    <row r="260" spans="1:19" ht="15" customHeight="1" x14ac:dyDescent="0.3">
      <c r="A260">
        <v>259</v>
      </c>
      <c r="B260" t="s">
        <v>504</v>
      </c>
      <c r="C260">
        <v>228693</v>
      </c>
      <c r="D260" t="s">
        <v>392</v>
      </c>
      <c r="E260">
        <v>41</v>
      </c>
      <c r="F260" t="s">
        <v>76</v>
      </c>
      <c r="G260" s="10">
        <v>45368</v>
      </c>
      <c r="H260" t="s">
        <v>39</v>
      </c>
      <c r="I260" t="s">
        <v>82</v>
      </c>
      <c r="J260" t="s">
        <v>48</v>
      </c>
      <c r="K260" t="s">
        <v>171</v>
      </c>
      <c r="L260" t="s">
        <v>60</v>
      </c>
      <c r="M260" t="s">
        <v>116</v>
      </c>
      <c r="N260">
        <v>55</v>
      </c>
      <c r="O260" t="s">
        <v>117</v>
      </c>
      <c r="P260" s="11">
        <v>6900</v>
      </c>
      <c r="Q260" t="s">
        <v>68</v>
      </c>
      <c r="R260" s="11">
        <f t="shared" si="8"/>
        <v>6900</v>
      </c>
      <c r="S260" t="str">
        <f t="shared" si="9"/>
        <v>One-Time</v>
      </c>
    </row>
    <row r="261" spans="1:19" ht="15" customHeight="1" x14ac:dyDescent="0.3">
      <c r="A261">
        <v>260</v>
      </c>
      <c r="B261" t="s">
        <v>505</v>
      </c>
      <c r="C261">
        <v>2147583</v>
      </c>
      <c r="D261" t="s">
        <v>392</v>
      </c>
      <c r="E261">
        <v>21</v>
      </c>
      <c r="F261" t="s">
        <v>75</v>
      </c>
      <c r="G261" s="10">
        <v>45369</v>
      </c>
      <c r="H261" t="s">
        <v>39</v>
      </c>
      <c r="I261" t="s">
        <v>82</v>
      </c>
      <c r="J261" t="s">
        <v>48</v>
      </c>
      <c r="K261" t="s">
        <v>171</v>
      </c>
      <c r="L261" t="s">
        <v>60</v>
      </c>
      <c r="M261" t="s">
        <v>116</v>
      </c>
      <c r="N261">
        <v>5</v>
      </c>
      <c r="O261" t="s">
        <v>117</v>
      </c>
      <c r="P261" s="11">
        <v>6900</v>
      </c>
      <c r="Q261" t="s">
        <v>68</v>
      </c>
      <c r="R261" s="11">
        <f t="shared" si="8"/>
        <v>6900</v>
      </c>
      <c r="S261" t="str">
        <f t="shared" si="9"/>
        <v>One-Time</v>
      </c>
    </row>
    <row r="262" spans="1:19" ht="15" customHeight="1" x14ac:dyDescent="0.3">
      <c r="A262">
        <v>261</v>
      </c>
      <c r="B262" t="s">
        <v>506</v>
      </c>
      <c r="C262">
        <v>6048700</v>
      </c>
      <c r="D262" t="s">
        <v>392</v>
      </c>
      <c r="E262">
        <v>36</v>
      </c>
      <c r="F262" t="s">
        <v>76</v>
      </c>
      <c r="G262" s="10">
        <v>45370</v>
      </c>
      <c r="H262" t="s">
        <v>39</v>
      </c>
      <c r="I262" t="s">
        <v>82</v>
      </c>
      <c r="J262" t="s">
        <v>48</v>
      </c>
      <c r="K262" t="s">
        <v>171</v>
      </c>
      <c r="L262" t="s">
        <v>60</v>
      </c>
      <c r="M262" t="s">
        <v>122</v>
      </c>
      <c r="N262">
        <v>4</v>
      </c>
      <c r="O262" t="s">
        <v>117</v>
      </c>
      <c r="P262" s="11">
        <v>6900</v>
      </c>
      <c r="Q262" t="s">
        <v>507</v>
      </c>
      <c r="R262" s="11">
        <f t="shared" si="8"/>
        <v>6900</v>
      </c>
      <c r="S262" t="str">
        <f t="shared" si="9"/>
        <v>One-Time</v>
      </c>
    </row>
    <row r="263" spans="1:19" ht="15" customHeight="1" x14ac:dyDescent="0.3">
      <c r="A263">
        <v>262</v>
      </c>
      <c r="B263" t="s">
        <v>508</v>
      </c>
      <c r="C263">
        <v>6722174</v>
      </c>
      <c r="D263" t="s">
        <v>114</v>
      </c>
      <c r="E263">
        <v>48</v>
      </c>
      <c r="F263" t="s">
        <v>76</v>
      </c>
      <c r="G263" s="10">
        <v>45371</v>
      </c>
      <c r="H263" t="s">
        <v>39</v>
      </c>
      <c r="I263" t="s">
        <v>83</v>
      </c>
      <c r="J263" t="s">
        <v>48</v>
      </c>
      <c r="K263" t="s">
        <v>171</v>
      </c>
      <c r="L263" t="s">
        <v>60</v>
      </c>
      <c r="M263" t="s">
        <v>122</v>
      </c>
      <c r="N263">
        <v>8</v>
      </c>
      <c r="O263" t="s">
        <v>117</v>
      </c>
      <c r="P263" s="11">
        <v>6900</v>
      </c>
      <c r="Q263" t="s">
        <v>62</v>
      </c>
      <c r="R263" s="11">
        <f t="shared" si="8"/>
        <v>0</v>
      </c>
      <c r="S263" t="str">
        <f t="shared" si="9"/>
        <v>One-Time</v>
      </c>
    </row>
    <row r="264" spans="1:19" ht="15" customHeight="1" x14ac:dyDescent="0.3">
      <c r="A264">
        <v>263</v>
      </c>
      <c r="B264" t="s">
        <v>509</v>
      </c>
      <c r="C264">
        <v>9624470</v>
      </c>
      <c r="D264" t="s">
        <v>392</v>
      </c>
      <c r="E264">
        <v>48</v>
      </c>
      <c r="F264" t="s">
        <v>76</v>
      </c>
      <c r="G264" s="10">
        <v>45372</v>
      </c>
      <c r="H264" t="s">
        <v>39</v>
      </c>
      <c r="I264" t="s">
        <v>83</v>
      </c>
      <c r="J264" t="s">
        <v>48</v>
      </c>
      <c r="K264" t="s">
        <v>171</v>
      </c>
      <c r="L264" t="s">
        <v>60</v>
      </c>
      <c r="M264" t="s">
        <v>122</v>
      </c>
      <c r="N264">
        <v>7</v>
      </c>
      <c r="O264" t="s">
        <v>117</v>
      </c>
      <c r="P264" s="11">
        <v>6900</v>
      </c>
      <c r="Q264" t="s">
        <v>510</v>
      </c>
      <c r="R264" s="11">
        <f t="shared" si="8"/>
        <v>0</v>
      </c>
      <c r="S264" t="str">
        <f t="shared" si="9"/>
        <v>One-Time</v>
      </c>
    </row>
    <row r="265" spans="1:19" ht="15" customHeight="1" x14ac:dyDescent="0.3">
      <c r="A265">
        <v>264</v>
      </c>
      <c r="B265" t="s">
        <v>511</v>
      </c>
      <c r="C265">
        <v>8164407</v>
      </c>
      <c r="D265" t="s">
        <v>114</v>
      </c>
      <c r="E265">
        <v>21</v>
      </c>
      <c r="F265" t="s">
        <v>75</v>
      </c>
      <c r="G265" s="10">
        <v>45373</v>
      </c>
      <c r="H265" t="s">
        <v>39</v>
      </c>
      <c r="I265" t="s">
        <v>82</v>
      </c>
      <c r="J265" t="s">
        <v>48</v>
      </c>
      <c r="K265" t="s">
        <v>171</v>
      </c>
      <c r="L265" t="s">
        <v>60</v>
      </c>
      <c r="M265" t="s">
        <v>122</v>
      </c>
      <c r="N265">
        <v>9</v>
      </c>
      <c r="O265" t="s">
        <v>117</v>
      </c>
      <c r="P265" s="11">
        <v>6300</v>
      </c>
      <c r="Q265" t="s">
        <v>512</v>
      </c>
      <c r="R265" s="11">
        <f t="shared" si="8"/>
        <v>6300</v>
      </c>
      <c r="S265" t="str">
        <f t="shared" si="9"/>
        <v>One-Time</v>
      </c>
    </row>
    <row r="266" spans="1:19" ht="15" customHeight="1" x14ac:dyDescent="0.3">
      <c r="A266">
        <v>265</v>
      </c>
      <c r="B266" t="s">
        <v>513</v>
      </c>
      <c r="C266">
        <v>9640916</v>
      </c>
      <c r="D266" t="s">
        <v>392</v>
      </c>
      <c r="E266">
        <v>46</v>
      </c>
      <c r="F266" t="s">
        <v>76</v>
      </c>
      <c r="G266" s="10">
        <v>45374</v>
      </c>
      <c r="H266" t="s">
        <v>39</v>
      </c>
      <c r="I266" t="s">
        <v>82</v>
      </c>
      <c r="J266" t="s">
        <v>48</v>
      </c>
      <c r="K266" t="s">
        <v>115</v>
      </c>
      <c r="L266" t="s">
        <v>60</v>
      </c>
      <c r="M266" t="s">
        <v>122</v>
      </c>
      <c r="N266">
        <v>3</v>
      </c>
      <c r="O266" t="s">
        <v>117</v>
      </c>
      <c r="P266" s="11">
        <v>6300</v>
      </c>
      <c r="Q266" t="s">
        <v>514</v>
      </c>
      <c r="R266" s="11">
        <f t="shared" si="8"/>
        <v>6300</v>
      </c>
      <c r="S266" t="str">
        <f t="shared" si="9"/>
        <v>One-Time</v>
      </c>
    </row>
    <row r="267" spans="1:19" ht="15" customHeight="1" x14ac:dyDescent="0.3">
      <c r="A267">
        <v>266</v>
      </c>
      <c r="B267" t="s">
        <v>515</v>
      </c>
      <c r="C267">
        <v>915050</v>
      </c>
      <c r="D267" t="s">
        <v>114</v>
      </c>
      <c r="E267">
        <v>40</v>
      </c>
      <c r="F267" t="s">
        <v>76</v>
      </c>
      <c r="G267" s="10">
        <v>45375</v>
      </c>
      <c r="H267" t="s">
        <v>39</v>
      </c>
      <c r="I267" t="s">
        <v>85</v>
      </c>
      <c r="J267" t="s">
        <v>48</v>
      </c>
      <c r="K267" t="s">
        <v>115</v>
      </c>
      <c r="L267" t="s">
        <v>60</v>
      </c>
      <c r="M267" t="s">
        <v>122</v>
      </c>
      <c r="N267">
        <v>32</v>
      </c>
      <c r="O267" t="s">
        <v>117</v>
      </c>
      <c r="P267" s="11">
        <v>6300</v>
      </c>
      <c r="Q267" t="s">
        <v>516</v>
      </c>
      <c r="R267" s="11">
        <f t="shared" si="8"/>
        <v>0</v>
      </c>
      <c r="S267" t="str">
        <f t="shared" si="9"/>
        <v>One-Time</v>
      </c>
    </row>
    <row r="268" spans="1:19" ht="15" customHeight="1" x14ac:dyDescent="0.3">
      <c r="A268">
        <v>267</v>
      </c>
      <c r="B268" t="s">
        <v>517</v>
      </c>
      <c r="C268">
        <v>9285338</v>
      </c>
      <c r="D268" t="s">
        <v>392</v>
      </c>
      <c r="E268">
        <v>23</v>
      </c>
      <c r="F268" t="s">
        <v>75</v>
      </c>
      <c r="G268" s="10">
        <v>45376</v>
      </c>
      <c r="H268" t="s">
        <v>39</v>
      </c>
      <c r="I268" t="s">
        <v>82</v>
      </c>
      <c r="J268" t="s">
        <v>48</v>
      </c>
      <c r="K268" t="s">
        <v>115</v>
      </c>
      <c r="L268" t="s">
        <v>60</v>
      </c>
      <c r="M268" t="s">
        <v>122</v>
      </c>
      <c r="N268">
        <v>65</v>
      </c>
      <c r="O268" t="s">
        <v>117</v>
      </c>
      <c r="P268" s="11">
        <v>6300</v>
      </c>
      <c r="Q268" t="s">
        <v>518</v>
      </c>
      <c r="R268" s="11">
        <f t="shared" si="8"/>
        <v>6300</v>
      </c>
      <c r="S268" t="str">
        <f t="shared" si="9"/>
        <v>One-Time</v>
      </c>
    </row>
    <row r="269" spans="1:19" ht="15" customHeight="1" x14ac:dyDescent="0.3">
      <c r="A269">
        <v>268</v>
      </c>
      <c r="B269" t="s">
        <v>519</v>
      </c>
      <c r="C269">
        <v>644445</v>
      </c>
      <c r="D269" t="s">
        <v>392</v>
      </c>
      <c r="E269">
        <v>43</v>
      </c>
      <c r="F269" t="s">
        <v>76</v>
      </c>
      <c r="G269" s="10">
        <v>45377</v>
      </c>
      <c r="H269" t="s">
        <v>39</v>
      </c>
      <c r="I269" t="s">
        <v>82</v>
      </c>
      <c r="J269" t="s">
        <v>48</v>
      </c>
      <c r="K269" t="s">
        <v>115</v>
      </c>
      <c r="L269" t="s">
        <v>60</v>
      </c>
      <c r="M269" t="s">
        <v>122</v>
      </c>
      <c r="N269">
        <v>4</v>
      </c>
      <c r="O269" t="s">
        <v>117</v>
      </c>
      <c r="P269" s="11">
        <v>6300</v>
      </c>
      <c r="Q269" t="s">
        <v>66</v>
      </c>
      <c r="R269" s="11">
        <f t="shared" si="8"/>
        <v>6300</v>
      </c>
      <c r="S269" t="str">
        <f t="shared" si="9"/>
        <v>One-Time</v>
      </c>
    </row>
    <row r="270" spans="1:19" ht="15" customHeight="1" x14ac:dyDescent="0.3">
      <c r="A270">
        <v>269</v>
      </c>
      <c r="B270" t="s">
        <v>520</v>
      </c>
      <c r="C270">
        <v>4997330</v>
      </c>
      <c r="D270" t="s">
        <v>392</v>
      </c>
      <c r="E270">
        <v>23</v>
      </c>
      <c r="F270" t="s">
        <v>75</v>
      </c>
      <c r="G270" s="10">
        <v>45378</v>
      </c>
      <c r="H270" t="s">
        <v>39</v>
      </c>
      <c r="I270" t="s">
        <v>82</v>
      </c>
      <c r="J270" t="s">
        <v>48</v>
      </c>
      <c r="K270" t="s">
        <v>115</v>
      </c>
      <c r="L270" t="s">
        <v>60</v>
      </c>
      <c r="M270" t="s">
        <v>122</v>
      </c>
      <c r="N270">
        <v>1</v>
      </c>
      <c r="O270" t="s">
        <v>117</v>
      </c>
      <c r="P270" s="11">
        <v>6300</v>
      </c>
      <c r="Q270" t="s">
        <v>265</v>
      </c>
      <c r="R270" s="11">
        <f t="shared" si="8"/>
        <v>6300</v>
      </c>
      <c r="S270" t="str">
        <f t="shared" si="9"/>
        <v>One-Time</v>
      </c>
    </row>
    <row r="271" spans="1:19" ht="15" customHeight="1" x14ac:dyDescent="0.3">
      <c r="A271">
        <v>270</v>
      </c>
      <c r="B271" t="s">
        <v>521</v>
      </c>
      <c r="C271">
        <v>3048145</v>
      </c>
      <c r="D271" t="s">
        <v>392</v>
      </c>
      <c r="E271">
        <v>72</v>
      </c>
      <c r="F271" t="s">
        <v>77</v>
      </c>
      <c r="G271" s="10">
        <v>45379</v>
      </c>
      <c r="H271" t="s">
        <v>39</v>
      </c>
      <c r="I271" t="s">
        <v>82</v>
      </c>
      <c r="J271" t="s">
        <v>48</v>
      </c>
      <c r="K271" t="s">
        <v>115</v>
      </c>
      <c r="L271" t="s">
        <v>60</v>
      </c>
      <c r="M271" t="s">
        <v>122</v>
      </c>
      <c r="N271">
        <v>47</v>
      </c>
      <c r="O271" t="s">
        <v>117</v>
      </c>
      <c r="P271" s="11">
        <v>6300</v>
      </c>
      <c r="Q271" t="s">
        <v>522</v>
      </c>
      <c r="R271" s="11">
        <f t="shared" si="8"/>
        <v>6300</v>
      </c>
      <c r="S271" t="str">
        <f t="shared" si="9"/>
        <v>One-Time</v>
      </c>
    </row>
    <row r="272" spans="1:19" ht="15" customHeight="1" x14ac:dyDescent="0.3">
      <c r="A272">
        <v>271</v>
      </c>
      <c r="B272" t="s">
        <v>523</v>
      </c>
      <c r="C272">
        <v>7168499</v>
      </c>
      <c r="D272" t="s">
        <v>392</v>
      </c>
      <c r="E272">
        <v>35</v>
      </c>
      <c r="F272" t="s">
        <v>76</v>
      </c>
      <c r="G272" s="10">
        <v>45380</v>
      </c>
      <c r="H272" t="s">
        <v>39</v>
      </c>
      <c r="I272" t="s">
        <v>82</v>
      </c>
      <c r="J272" t="s">
        <v>48</v>
      </c>
      <c r="K272" t="s">
        <v>115</v>
      </c>
      <c r="L272" t="s">
        <v>60</v>
      </c>
      <c r="M272" t="s">
        <v>122</v>
      </c>
      <c r="N272">
        <v>3</v>
      </c>
      <c r="O272" t="s">
        <v>117</v>
      </c>
      <c r="P272" s="11">
        <v>6300</v>
      </c>
      <c r="Q272" t="s">
        <v>524</v>
      </c>
      <c r="R272" s="11">
        <f t="shared" si="8"/>
        <v>6300</v>
      </c>
      <c r="S272" t="str">
        <f t="shared" si="9"/>
        <v>One-Time</v>
      </c>
    </row>
    <row r="273" spans="1:19" ht="15" customHeight="1" x14ac:dyDescent="0.3">
      <c r="A273">
        <v>272</v>
      </c>
      <c r="B273" t="s">
        <v>525</v>
      </c>
      <c r="C273">
        <v>3180908</v>
      </c>
      <c r="D273" t="s">
        <v>392</v>
      </c>
      <c r="E273">
        <v>28</v>
      </c>
      <c r="F273" t="s">
        <v>75</v>
      </c>
      <c r="G273" s="10">
        <v>45381</v>
      </c>
      <c r="H273" t="s">
        <v>39</v>
      </c>
      <c r="I273" t="s">
        <v>82</v>
      </c>
      <c r="J273" t="s">
        <v>48</v>
      </c>
      <c r="K273" t="s">
        <v>115</v>
      </c>
      <c r="L273" t="s">
        <v>60</v>
      </c>
      <c r="M273" t="s">
        <v>122</v>
      </c>
      <c r="N273">
        <v>4</v>
      </c>
      <c r="O273" t="s">
        <v>117</v>
      </c>
      <c r="P273" s="11">
        <v>6300</v>
      </c>
      <c r="Q273" t="s">
        <v>65</v>
      </c>
      <c r="R273" s="11">
        <f t="shared" si="8"/>
        <v>6300</v>
      </c>
      <c r="S273" t="str">
        <f t="shared" si="9"/>
        <v>One-Time</v>
      </c>
    </row>
    <row r="274" spans="1:19" ht="15" customHeight="1" x14ac:dyDescent="0.3">
      <c r="A274">
        <v>273</v>
      </c>
      <c r="B274" t="s">
        <v>526</v>
      </c>
      <c r="C274">
        <v>2286700</v>
      </c>
      <c r="D274" t="s">
        <v>114</v>
      </c>
      <c r="E274">
        <v>65</v>
      </c>
      <c r="F274" t="s">
        <v>77</v>
      </c>
      <c r="G274" s="10">
        <v>45382</v>
      </c>
      <c r="H274" t="s">
        <v>39</v>
      </c>
      <c r="I274" t="s">
        <v>82</v>
      </c>
      <c r="J274" t="s">
        <v>48</v>
      </c>
      <c r="K274" t="s">
        <v>115</v>
      </c>
      <c r="L274" t="s">
        <v>60</v>
      </c>
      <c r="M274" t="s">
        <v>122</v>
      </c>
      <c r="N274">
        <v>4</v>
      </c>
      <c r="O274" t="s">
        <v>117</v>
      </c>
      <c r="P274" s="11">
        <v>6300</v>
      </c>
      <c r="Q274" t="s">
        <v>62</v>
      </c>
      <c r="R274" s="11">
        <f t="shared" si="8"/>
        <v>6300</v>
      </c>
      <c r="S274" t="str">
        <f t="shared" si="9"/>
        <v>One-Time</v>
      </c>
    </row>
    <row r="275" spans="1:19" ht="15" customHeight="1" x14ac:dyDescent="0.3">
      <c r="A275">
        <v>274</v>
      </c>
      <c r="B275" t="s">
        <v>527</v>
      </c>
      <c r="C275">
        <v>3305763</v>
      </c>
      <c r="D275" t="s">
        <v>114</v>
      </c>
      <c r="E275">
        <v>36</v>
      </c>
      <c r="F275" t="s">
        <v>76</v>
      </c>
      <c r="G275" s="10">
        <v>45383</v>
      </c>
      <c r="H275" t="s">
        <v>40</v>
      </c>
      <c r="I275" t="s">
        <v>82</v>
      </c>
      <c r="J275" t="s">
        <v>48</v>
      </c>
      <c r="K275" t="s">
        <v>115</v>
      </c>
      <c r="L275" t="s">
        <v>60</v>
      </c>
      <c r="M275" t="s">
        <v>122</v>
      </c>
      <c r="N275">
        <v>9</v>
      </c>
      <c r="O275" t="s">
        <v>117</v>
      </c>
      <c r="P275" s="11">
        <v>6300</v>
      </c>
      <c r="Q275" t="s">
        <v>250</v>
      </c>
      <c r="R275" s="11">
        <f t="shared" si="8"/>
        <v>6300</v>
      </c>
      <c r="S275" t="str">
        <f t="shared" si="9"/>
        <v>One-Time</v>
      </c>
    </row>
    <row r="276" spans="1:19" ht="15" customHeight="1" x14ac:dyDescent="0.3">
      <c r="A276">
        <v>275</v>
      </c>
      <c r="B276" t="s">
        <v>528</v>
      </c>
      <c r="C276">
        <v>5676727</v>
      </c>
      <c r="D276" t="s">
        <v>114</v>
      </c>
      <c r="E276">
        <v>70</v>
      </c>
      <c r="F276" t="s">
        <v>77</v>
      </c>
      <c r="G276" s="10">
        <v>45384</v>
      </c>
      <c r="H276" t="s">
        <v>40</v>
      </c>
      <c r="I276" t="s">
        <v>82</v>
      </c>
      <c r="J276" t="s">
        <v>48</v>
      </c>
      <c r="K276" t="s">
        <v>132</v>
      </c>
      <c r="L276" t="s">
        <v>60</v>
      </c>
      <c r="M276" t="s">
        <v>122</v>
      </c>
      <c r="N276">
        <v>8</v>
      </c>
      <c r="O276" t="s">
        <v>117</v>
      </c>
      <c r="P276" s="11">
        <v>6300</v>
      </c>
      <c r="Q276" t="s">
        <v>62</v>
      </c>
      <c r="R276" s="11">
        <f t="shared" si="8"/>
        <v>6300</v>
      </c>
      <c r="S276" t="str">
        <f t="shared" si="9"/>
        <v>One-Time</v>
      </c>
    </row>
    <row r="277" spans="1:19" ht="15" customHeight="1" x14ac:dyDescent="0.3">
      <c r="A277">
        <v>276</v>
      </c>
      <c r="B277" t="s">
        <v>529</v>
      </c>
      <c r="C277">
        <v>8302065</v>
      </c>
      <c r="D277" t="s">
        <v>392</v>
      </c>
      <c r="E277">
        <v>41</v>
      </c>
      <c r="F277" t="s">
        <v>76</v>
      </c>
      <c r="G277" s="10">
        <v>45385</v>
      </c>
      <c r="H277" t="s">
        <v>40</v>
      </c>
      <c r="I277" t="s">
        <v>82</v>
      </c>
      <c r="J277" t="s">
        <v>48</v>
      </c>
      <c r="K277" t="s">
        <v>132</v>
      </c>
      <c r="L277" t="s">
        <v>60</v>
      </c>
      <c r="M277" t="s">
        <v>122</v>
      </c>
      <c r="N277">
        <v>3</v>
      </c>
      <c r="O277" t="s">
        <v>117</v>
      </c>
      <c r="P277" s="11">
        <v>6300</v>
      </c>
      <c r="Q277" t="s">
        <v>62</v>
      </c>
      <c r="R277" s="11">
        <f t="shared" si="8"/>
        <v>6300</v>
      </c>
      <c r="S277" t="str">
        <f t="shared" si="9"/>
        <v>One-Time</v>
      </c>
    </row>
    <row r="278" spans="1:19" ht="15" customHeight="1" x14ac:dyDescent="0.3">
      <c r="A278">
        <v>277</v>
      </c>
      <c r="B278" t="s">
        <v>530</v>
      </c>
      <c r="C278">
        <v>7098912</v>
      </c>
      <c r="D278" t="s">
        <v>114</v>
      </c>
      <c r="E278">
        <v>23</v>
      </c>
      <c r="F278" t="s">
        <v>75</v>
      </c>
      <c r="G278" s="10">
        <v>45386</v>
      </c>
      <c r="H278" t="s">
        <v>40</v>
      </c>
      <c r="I278" t="s">
        <v>82</v>
      </c>
      <c r="J278" t="s">
        <v>48</v>
      </c>
      <c r="K278" t="s">
        <v>132</v>
      </c>
      <c r="L278" t="s">
        <v>60</v>
      </c>
      <c r="M278" t="s">
        <v>122</v>
      </c>
      <c r="N278">
        <v>6</v>
      </c>
      <c r="O278" t="s">
        <v>117</v>
      </c>
      <c r="P278" s="11">
        <v>6600</v>
      </c>
      <c r="Q278" t="s">
        <v>70</v>
      </c>
      <c r="R278" s="11">
        <f t="shared" si="8"/>
        <v>6600</v>
      </c>
      <c r="S278" t="str">
        <f t="shared" si="9"/>
        <v>One-Time</v>
      </c>
    </row>
    <row r="279" spans="1:19" ht="15" customHeight="1" x14ac:dyDescent="0.3">
      <c r="A279">
        <v>278</v>
      </c>
      <c r="B279" t="s">
        <v>531</v>
      </c>
      <c r="C279">
        <v>3848348</v>
      </c>
      <c r="D279" t="s">
        <v>114</v>
      </c>
      <c r="E279">
        <v>23</v>
      </c>
      <c r="F279" t="s">
        <v>75</v>
      </c>
      <c r="G279" s="10">
        <v>45387</v>
      </c>
      <c r="H279" t="s">
        <v>40</v>
      </c>
      <c r="I279" t="s">
        <v>82</v>
      </c>
      <c r="J279" t="s">
        <v>48</v>
      </c>
      <c r="K279" t="s">
        <v>132</v>
      </c>
      <c r="L279" t="s">
        <v>60</v>
      </c>
      <c r="M279" t="s">
        <v>122</v>
      </c>
      <c r="N279">
        <v>9</v>
      </c>
      <c r="O279" t="s">
        <v>117</v>
      </c>
      <c r="P279" s="11">
        <v>6600</v>
      </c>
      <c r="Q279" t="s">
        <v>64</v>
      </c>
      <c r="R279" s="11">
        <f t="shared" si="8"/>
        <v>6600</v>
      </c>
      <c r="S279" t="str">
        <f t="shared" si="9"/>
        <v>One-Time</v>
      </c>
    </row>
    <row r="280" spans="1:19" ht="15" customHeight="1" x14ac:dyDescent="0.3">
      <c r="A280">
        <v>279</v>
      </c>
      <c r="B280" t="s">
        <v>532</v>
      </c>
      <c r="C280">
        <v>9613429</v>
      </c>
      <c r="D280" t="s">
        <v>392</v>
      </c>
      <c r="E280">
        <v>48</v>
      </c>
      <c r="F280" t="s">
        <v>76</v>
      </c>
      <c r="G280" s="10">
        <v>45388</v>
      </c>
      <c r="H280" t="s">
        <v>40</v>
      </c>
      <c r="I280" t="s">
        <v>82</v>
      </c>
      <c r="J280" t="s">
        <v>48</v>
      </c>
      <c r="K280" t="s">
        <v>132</v>
      </c>
      <c r="L280" t="s">
        <v>60</v>
      </c>
      <c r="M280" t="s">
        <v>122</v>
      </c>
      <c r="N280">
        <v>2</v>
      </c>
      <c r="O280" t="s">
        <v>117</v>
      </c>
      <c r="P280" s="11">
        <v>6600</v>
      </c>
      <c r="Q280" t="s">
        <v>533</v>
      </c>
      <c r="R280" s="11">
        <f t="shared" si="8"/>
        <v>6600</v>
      </c>
      <c r="S280" t="str">
        <f t="shared" si="9"/>
        <v>Repeat</v>
      </c>
    </row>
    <row r="281" spans="1:19" ht="15" customHeight="1" x14ac:dyDescent="0.3">
      <c r="A281">
        <v>280</v>
      </c>
      <c r="B281" t="s">
        <v>532</v>
      </c>
      <c r="C281">
        <v>9613429</v>
      </c>
      <c r="D281" t="s">
        <v>392</v>
      </c>
      <c r="E281">
        <v>22</v>
      </c>
      <c r="F281" t="s">
        <v>75</v>
      </c>
      <c r="G281" s="10">
        <v>45389</v>
      </c>
      <c r="H281" t="s">
        <v>40</v>
      </c>
      <c r="I281" t="s">
        <v>82</v>
      </c>
      <c r="J281" t="s">
        <v>48</v>
      </c>
      <c r="K281" t="s">
        <v>132</v>
      </c>
      <c r="L281" t="s">
        <v>57</v>
      </c>
      <c r="M281" t="s">
        <v>122</v>
      </c>
      <c r="N281">
        <v>5</v>
      </c>
      <c r="O281" t="s">
        <v>117</v>
      </c>
      <c r="P281" s="11">
        <v>6600</v>
      </c>
      <c r="Q281" t="s">
        <v>534</v>
      </c>
      <c r="R281" s="11">
        <f t="shared" si="8"/>
        <v>6600</v>
      </c>
      <c r="S281" t="str">
        <f t="shared" si="9"/>
        <v>Repeat</v>
      </c>
    </row>
    <row r="282" spans="1:19" ht="15" customHeight="1" x14ac:dyDescent="0.3">
      <c r="A282">
        <v>281</v>
      </c>
      <c r="B282" t="s">
        <v>535</v>
      </c>
      <c r="C282">
        <v>2921633</v>
      </c>
      <c r="D282" t="s">
        <v>392</v>
      </c>
      <c r="E282">
        <v>22</v>
      </c>
      <c r="F282" t="s">
        <v>75</v>
      </c>
      <c r="G282" s="10">
        <v>45390</v>
      </c>
      <c r="H282" t="s">
        <v>40</v>
      </c>
      <c r="I282" t="s">
        <v>82</v>
      </c>
      <c r="J282" t="s">
        <v>48</v>
      </c>
      <c r="K282" t="s">
        <v>132</v>
      </c>
      <c r="L282" t="s">
        <v>57</v>
      </c>
      <c r="M282" t="s">
        <v>122</v>
      </c>
      <c r="N282">
        <v>6</v>
      </c>
      <c r="O282" t="s">
        <v>117</v>
      </c>
      <c r="P282" s="11">
        <v>6500</v>
      </c>
      <c r="Q282" t="s">
        <v>275</v>
      </c>
      <c r="R282" s="11">
        <f t="shared" si="8"/>
        <v>6500</v>
      </c>
      <c r="S282" t="str">
        <f t="shared" si="9"/>
        <v>One-Time</v>
      </c>
    </row>
    <row r="283" spans="1:19" ht="15" customHeight="1" x14ac:dyDescent="0.3">
      <c r="A283">
        <v>282</v>
      </c>
      <c r="B283" t="s">
        <v>536</v>
      </c>
      <c r="C283">
        <v>1713822</v>
      </c>
      <c r="D283" t="s">
        <v>392</v>
      </c>
      <c r="E283">
        <v>36</v>
      </c>
      <c r="F283" t="s">
        <v>76</v>
      </c>
      <c r="G283" s="10">
        <v>45391</v>
      </c>
      <c r="H283" t="s">
        <v>40</v>
      </c>
      <c r="I283" t="s">
        <v>82</v>
      </c>
      <c r="J283" t="s">
        <v>48</v>
      </c>
      <c r="K283" t="s">
        <v>132</v>
      </c>
      <c r="L283" t="s">
        <v>57</v>
      </c>
      <c r="M283" t="s">
        <v>122</v>
      </c>
      <c r="N283">
        <v>9</v>
      </c>
      <c r="O283" t="s">
        <v>117</v>
      </c>
      <c r="P283" s="11">
        <v>6500</v>
      </c>
      <c r="Q283" t="s">
        <v>64</v>
      </c>
      <c r="R283" s="11">
        <f t="shared" si="8"/>
        <v>6500</v>
      </c>
      <c r="S283" t="str">
        <f t="shared" si="9"/>
        <v>One-Time</v>
      </c>
    </row>
    <row r="284" spans="1:19" ht="15" customHeight="1" x14ac:dyDescent="0.3">
      <c r="A284">
        <v>283</v>
      </c>
      <c r="B284" t="s">
        <v>537</v>
      </c>
      <c r="C284">
        <v>9822747</v>
      </c>
      <c r="D284" t="s">
        <v>114</v>
      </c>
      <c r="E284">
        <v>50</v>
      </c>
      <c r="F284" t="s">
        <v>77</v>
      </c>
      <c r="G284" s="10">
        <v>45392</v>
      </c>
      <c r="H284" t="s">
        <v>40</v>
      </c>
      <c r="I284" t="s">
        <v>85</v>
      </c>
      <c r="J284" t="s">
        <v>48</v>
      </c>
      <c r="K284" t="s">
        <v>132</v>
      </c>
      <c r="L284" t="s">
        <v>57</v>
      </c>
      <c r="M284" t="s">
        <v>122</v>
      </c>
      <c r="N284">
        <v>7</v>
      </c>
      <c r="O284" t="s">
        <v>117</v>
      </c>
      <c r="P284" s="11">
        <v>6500</v>
      </c>
      <c r="Q284" t="s">
        <v>62</v>
      </c>
      <c r="R284" s="11">
        <f t="shared" si="8"/>
        <v>0</v>
      </c>
      <c r="S284" t="str">
        <f t="shared" si="9"/>
        <v>One-Time</v>
      </c>
    </row>
    <row r="285" spans="1:19" ht="15" customHeight="1" x14ac:dyDescent="0.3">
      <c r="A285">
        <v>284</v>
      </c>
      <c r="B285" t="s">
        <v>538</v>
      </c>
      <c r="C285">
        <v>6548679</v>
      </c>
      <c r="D285" t="s">
        <v>392</v>
      </c>
      <c r="E285">
        <v>40</v>
      </c>
      <c r="F285" t="s">
        <v>76</v>
      </c>
      <c r="G285" s="10">
        <v>45393</v>
      </c>
      <c r="H285" t="s">
        <v>40</v>
      </c>
      <c r="I285" t="s">
        <v>82</v>
      </c>
      <c r="J285" t="s">
        <v>48</v>
      </c>
      <c r="K285" t="s">
        <v>132</v>
      </c>
      <c r="L285" t="s">
        <v>57</v>
      </c>
      <c r="M285" t="s">
        <v>122</v>
      </c>
      <c r="N285">
        <v>81</v>
      </c>
      <c r="O285" t="s">
        <v>117</v>
      </c>
      <c r="P285" s="11">
        <v>6500</v>
      </c>
      <c r="Q285" t="s">
        <v>155</v>
      </c>
      <c r="R285" s="11">
        <f t="shared" si="8"/>
        <v>6500</v>
      </c>
      <c r="S285" t="str">
        <f t="shared" si="9"/>
        <v>One-Time</v>
      </c>
    </row>
    <row r="286" spans="1:19" ht="15" customHeight="1" x14ac:dyDescent="0.3">
      <c r="A286">
        <v>285</v>
      </c>
      <c r="B286" t="s">
        <v>539</v>
      </c>
      <c r="C286">
        <v>2406097</v>
      </c>
      <c r="D286" t="s">
        <v>392</v>
      </c>
      <c r="E286">
        <v>22</v>
      </c>
      <c r="F286" t="s">
        <v>75</v>
      </c>
      <c r="G286" s="10">
        <v>45394</v>
      </c>
      <c r="H286" t="s">
        <v>40</v>
      </c>
      <c r="I286" t="s">
        <v>82</v>
      </c>
      <c r="J286" t="s">
        <v>48</v>
      </c>
      <c r="K286" t="s">
        <v>132</v>
      </c>
      <c r="L286" t="s">
        <v>57</v>
      </c>
      <c r="M286" t="s">
        <v>122</v>
      </c>
      <c r="N286">
        <v>24</v>
      </c>
      <c r="O286" t="s">
        <v>117</v>
      </c>
      <c r="P286" s="11">
        <v>6500</v>
      </c>
      <c r="Q286" t="s">
        <v>540</v>
      </c>
      <c r="R286" s="11">
        <f t="shared" si="8"/>
        <v>6500</v>
      </c>
      <c r="S286" t="str">
        <f t="shared" si="9"/>
        <v>Repeat</v>
      </c>
    </row>
    <row r="287" spans="1:19" ht="15" customHeight="1" x14ac:dyDescent="0.3">
      <c r="A287">
        <v>286</v>
      </c>
      <c r="B287" t="s">
        <v>539</v>
      </c>
      <c r="C287">
        <v>2406097</v>
      </c>
      <c r="D287" t="s">
        <v>392</v>
      </c>
      <c r="E287">
        <v>48</v>
      </c>
      <c r="F287" t="s">
        <v>76</v>
      </c>
      <c r="G287" s="10">
        <v>45395</v>
      </c>
      <c r="H287" t="s">
        <v>40</v>
      </c>
      <c r="I287" t="s">
        <v>82</v>
      </c>
      <c r="J287" t="s">
        <v>48</v>
      </c>
      <c r="K287" t="s">
        <v>132</v>
      </c>
      <c r="L287" t="s">
        <v>57</v>
      </c>
      <c r="M287" t="s">
        <v>122</v>
      </c>
      <c r="N287">
        <v>56</v>
      </c>
      <c r="O287" t="s">
        <v>117</v>
      </c>
      <c r="P287" s="11">
        <v>6500</v>
      </c>
      <c r="Q287" t="s">
        <v>66</v>
      </c>
      <c r="R287" s="11">
        <f t="shared" si="8"/>
        <v>6500</v>
      </c>
      <c r="S287" t="str">
        <f t="shared" si="9"/>
        <v>Repeat</v>
      </c>
    </row>
    <row r="288" spans="1:19" ht="15" customHeight="1" x14ac:dyDescent="0.3">
      <c r="A288">
        <v>287</v>
      </c>
      <c r="B288" t="s">
        <v>541</v>
      </c>
      <c r="C288">
        <v>9919199</v>
      </c>
      <c r="D288" t="s">
        <v>392</v>
      </c>
      <c r="E288">
        <v>48</v>
      </c>
      <c r="F288" t="s">
        <v>76</v>
      </c>
      <c r="G288" s="10">
        <v>45396</v>
      </c>
      <c r="H288" t="s">
        <v>40</v>
      </c>
      <c r="I288" t="s">
        <v>82</v>
      </c>
      <c r="J288" t="s">
        <v>48</v>
      </c>
      <c r="K288" t="s">
        <v>132</v>
      </c>
      <c r="L288" t="s">
        <v>57</v>
      </c>
      <c r="M288" t="s">
        <v>122</v>
      </c>
      <c r="N288">
        <v>55</v>
      </c>
      <c r="O288" t="s">
        <v>117</v>
      </c>
      <c r="P288" s="11">
        <v>6500</v>
      </c>
      <c r="Q288" t="s">
        <v>542</v>
      </c>
      <c r="R288" s="11">
        <f t="shared" si="8"/>
        <v>6500</v>
      </c>
      <c r="S288" t="str">
        <f t="shared" si="9"/>
        <v>One-Time</v>
      </c>
    </row>
    <row r="289" spans="1:19" ht="15" customHeight="1" x14ac:dyDescent="0.3">
      <c r="A289">
        <v>288</v>
      </c>
      <c r="B289" t="s">
        <v>543</v>
      </c>
      <c r="C289">
        <v>8024399</v>
      </c>
      <c r="D289" t="s">
        <v>392</v>
      </c>
      <c r="E289">
        <v>39</v>
      </c>
      <c r="F289" t="s">
        <v>76</v>
      </c>
      <c r="G289" s="10">
        <v>45397</v>
      </c>
      <c r="H289" t="s">
        <v>40</v>
      </c>
      <c r="I289" t="s">
        <v>82</v>
      </c>
      <c r="J289" t="s">
        <v>48</v>
      </c>
      <c r="K289" t="s">
        <v>132</v>
      </c>
      <c r="L289" t="s">
        <v>57</v>
      </c>
      <c r="M289" t="s">
        <v>122</v>
      </c>
      <c r="N289">
        <v>5</v>
      </c>
      <c r="O289" t="s">
        <v>117</v>
      </c>
      <c r="P289" s="11">
        <v>7500</v>
      </c>
      <c r="Q289" t="s">
        <v>544</v>
      </c>
      <c r="R289" s="11">
        <f t="shared" si="8"/>
        <v>7500</v>
      </c>
      <c r="S289" t="str">
        <f t="shared" si="9"/>
        <v>One-Time</v>
      </c>
    </row>
    <row r="290" spans="1:19" ht="15" customHeight="1" x14ac:dyDescent="0.3">
      <c r="A290">
        <v>289</v>
      </c>
      <c r="B290" t="s">
        <v>545</v>
      </c>
      <c r="C290">
        <v>7721497</v>
      </c>
      <c r="D290" t="s">
        <v>392</v>
      </c>
      <c r="E290">
        <v>44</v>
      </c>
      <c r="F290" t="s">
        <v>76</v>
      </c>
      <c r="G290" s="10">
        <v>45398</v>
      </c>
      <c r="H290" t="s">
        <v>40</v>
      </c>
      <c r="I290" t="s">
        <v>82</v>
      </c>
      <c r="J290" t="s">
        <v>48</v>
      </c>
      <c r="K290" t="s">
        <v>132</v>
      </c>
      <c r="L290" t="s">
        <v>57</v>
      </c>
      <c r="M290" t="s">
        <v>122</v>
      </c>
      <c r="N290">
        <v>4</v>
      </c>
      <c r="O290" t="s">
        <v>117</v>
      </c>
      <c r="P290" s="11">
        <v>7500</v>
      </c>
      <c r="Q290" t="s">
        <v>191</v>
      </c>
      <c r="R290" s="11">
        <f t="shared" si="8"/>
        <v>7500</v>
      </c>
      <c r="S290" t="str">
        <f t="shared" si="9"/>
        <v>One-Time</v>
      </c>
    </row>
    <row r="291" spans="1:19" ht="15" customHeight="1" x14ac:dyDescent="0.3">
      <c r="A291">
        <v>290</v>
      </c>
      <c r="B291" t="s">
        <v>546</v>
      </c>
      <c r="C291">
        <v>5590210</v>
      </c>
      <c r="D291" t="s">
        <v>392</v>
      </c>
      <c r="E291">
        <v>66</v>
      </c>
      <c r="F291" t="s">
        <v>77</v>
      </c>
      <c r="G291" s="10">
        <v>45399</v>
      </c>
      <c r="H291" t="s">
        <v>40</v>
      </c>
      <c r="I291" t="s">
        <v>84</v>
      </c>
      <c r="J291" t="s">
        <v>48</v>
      </c>
      <c r="K291" t="s">
        <v>132</v>
      </c>
      <c r="L291" t="s">
        <v>57</v>
      </c>
      <c r="M291" t="s">
        <v>122</v>
      </c>
      <c r="N291">
        <v>8</v>
      </c>
      <c r="O291" t="s">
        <v>117</v>
      </c>
      <c r="P291" s="11">
        <v>7500</v>
      </c>
      <c r="Q291" t="s">
        <v>265</v>
      </c>
      <c r="R291" s="11">
        <f t="shared" si="8"/>
        <v>0</v>
      </c>
      <c r="S291" t="str">
        <f t="shared" si="9"/>
        <v>One-Time</v>
      </c>
    </row>
    <row r="292" spans="1:19" ht="15" customHeight="1" x14ac:dyDescent="0.3">
      <c r="A292">
        <v>291</v>
      </c>
      <c r="B292" t="s">
        <v>547</v>
      </c>
      <c r="C292">
        <v>5326871</v>
      </c>
      <c r="D292" t="s">
        <v>392</v>
      </c>
      <c r="E292">
        <v>27</v>
      </c>
      <c r="F292" t="s">
        <v>75</v>
      </c>
      <c r="G292" s="10">
        <v>45400</v>
      </c>
      <c r="H292" t="s">
        <v>40</v>
      </c>
      <c r="I292" t="s">
        <v>82</v>
      </c>
      <c r="J292" t="s">
        <v>48</v>
      </c>
      <c r="K292" t="s">
        <v>132</v>
      </c>
      <c r="L292" t="s">
        <v>57</v>
      </c>
      <c r="M292" t="s">
        <v>122</v>
      </c>
      <c r="N292">
        <v>7</v>
      </c>
      <c r="O292" t="s">
        <v>117</v>
      </c>
      <c r="P292" s="11">
        <v>7500</v>
      </c>
      <c r="Q292" t="s">
        <v>69</v>
      </c>
      <c r="R292" s="11">
        <f t="shared" si="8"/>
        <v>7500</v>
      </c>
      <c r="S292" t="str">
        <f t="shared" si="9"/>
        <v>One-Time</v>
      </c>
    </row>
    <row r="293" spans="1:19" ht="15" customHeight="1" x14ac:dyDescent="0.3">
      <c r="A293">
        <v>292</v>
      </c>
      <c r="B293" t="s">
        <v>548</v>
      </c>
      <c r="C293">
        <v>490720</v>
      </c>
      <c r="D293" t="s">
        <v>392</v>
      </c>
      <c r="E293">
        <v>23</v>
      </c>
      <c r="F293" t="s">
        <v>75</v>
      </c>
      <c r="G293" s="10">
        <v>45401</v>
      </c>
      <c r="H293" t="s">
        <v>40</v>
      </c>
      <c r="I293" t="s">
        <v>82</v>
      </c>
      <c r="J293" t="s">
        <v>48</v>
      </c>
      <c r="K293" t="s">
        <v>132</v>
      </c>
      <c r="L293" t="s">
        <v>57</v>
      </c>
      <c r="M293" t="s">
        <v>315</v>
      </c>
      <c r="N293">
        <v>9</v>
      </c>
      <c r="O293" t="s">
        <v>117</v>
      </c>
      <c r="P293" s="11">
        <v>7500</v>
      </c>
      <c r="Q293" t="s">
        <v>174</v>
      </c>
      <c r="R293" s="11">
        <f t="shared" si="8"/>
        <v>7500</v>
      </c>
      <c r="S293" t="str">
        <f t="shared" si="9"/>
        <v>One-Time</v>
      </c>
    </row>
    <row r="294" spans="1:19" ht="15" customHeight="1" x14ac:dyDescent="0.3">
      <c r="A294">
        <v>293</v>
      </c>
      <c r="B294" t="s">
        <v>549</v>
      </c>
      <c r="C294">
        <v>391103</v>
      </c>
      <c r="D294" t="s">
        <v>392</v>
      </c>
      <c r="E294">
        <v>45</v>
      </c>
      <c r="F294" t="s">
        <v>76</v>
      </c>
      <c r="G294" s="10">
        <v>45402</v>
      </c>
      <c r="H294" t="s">
        <v>40</v>
      </c>
      <c r="I294" t="s">
        <v>82</v>
      </c>
      <c r="J294" t="s">
        <v>48</v>
      </c>
      <c r="K294" t="s">
        <v>132</v>
      </c>
      <c r="L294" t="s">
        <v>57</v>
      </c>
      <c r="M294" t="s">
        <v>315</v>
      </c>
      <c r="N294">
        <v>3</v>
      </c>
      <c r="O294" t="s">
        <v>117</v>
      </c>
      <c r="P294" s="11">
        <v>7500</v>
      </c>
      <c r="Q294" t="s">
        <v>550</v>
      </c>
      <c r="R294" s="11">
        <f t="shared" si="8"/>
        <v>7500</v>
      </c>
      <c r="S294" t="str">
        <f t="shared" si="9"/>
        <v>One-Time</v>
      </c>
    </row>
    <row r="295" spans="1:19" ht="15" customHeight="1" x14ac:dyDescent="0.3">
      <c r="A295">
        <v>294</v>
      </c>
      <c r="B295" t="s">
        <v>551</v>
      </c>
      <c r="C295">
        <v>8905689</v>
      </c>
      <c r="D295" t="s">
        <v>392</v>
      </c>
      <c r="E295">
        <v>38</v>
      </c>
      <c r="F295" t="s">
        <v>76</v>
      </c>
      <c r="G295" s="10">
        <v>45403</v>
      </c>
      <c r="H295" t="s">
        <v>40</v>
      </c>
      <c r="I295" t="s">
        <v>82</v>
      </c>
      <c r="J295" t="s">
        <v>48</v>
      </c>
      <c r="K295" t="s">
        <v>132</v>
      </c>
      <c r="L295" t="s">
        <v>57</v>
      </c>
      <c r="M295" t="s">
        <v>315</v>
      </c>
      <c r="N295">
        <v>32</v>
      </c>
      <c r="O295" t="s">
        <v>117</v>
      </c>
      <c r="P295" s="11">
        <v>7500</v>
      </c>
      <c r="Q295" t="s">
        <v>552</v>
      </c>
      <c r="R295" s="11">
        <f t="shared" si="8"/>
        <v>7500</v>
      </c>
      <c r="S295" t="str">
        <f t="shared" si="9"/>
        <v>One-Time</v>
      </c>
    </row>
    <row r="296" spans="1:19" ht="15" customHeight="1" x14ac:dyDescent="0.3">
      <c r="A296">
        <v>295</v>
      </c>
      <c r="B296" t="s">
        <v>553</v>
      </c>
      <c r="C296">
        <v>4720373</v>
      </c>
      <c r="D296" t="s">
        <v>392</v>
      </c>
      <c r="E296">
        <v>31</v>
      </c>
      <c r="F296" t="s">
        <v>76</v>
      </c>
      <c r="G296" s="10">
        <v>45404</v>
      </c>
      <c r="H296" t="s">
        <v>40</v>
      </c>
      <c r="I296" t="s">
        <v>82</v>
      </c>
      <c r="J296" t="s">
        <v>48</v>
      </c>
      <c r="K296" t="s">
        <v>132</v>
      </c>
      <c r="L296" t="s">
        <v>57</v>
      </c>
      <c r="M296" t="s">
        <v>315</v>
      </c>
      <c r="N296">
        <v>65</v>
      </c>
      <c r="O296" t="s">
        <v>117</v>
      </c>
      <c r="P296" s="11">
        <v>7500</v>
      </c>
      <c r="Q296" t="s">
        <v>62</v>
      </c>
      <c r="R296" s="11">
        <f t="shared" si="8"/>
        <v>7500</v>
      </c>
      <c r="S296" t="str">
        <f t="shared" si="9"/>
        <v>One-Time</v>
      </c>
    </row>
    <row r="297" spans="1:19" ht="15" customHeight="1" x14ac:dyDescent="0.3">
      <c r="A297">
        <v>296</v>
      </c>
      <c r="B297" t="s">
        <v>554</v>
      </c>
      <c r="C297">
        <v>767351</v>
      </c>
      <c r="D297" t="s">
        <v>392</v>
      </c>
      <c r="E297">
        <v>35</v>
      </c>
      <c r="F297" t="s">
        <v>76</v>
      </c>
      <c r="G297" s="10">
        <v>45405</v>
      </c>
      <c r="H297" t="s">
        <v>40</v>
      </c>
      <c r="I297" t="s">
        <v>82</v>
      </c>
      <c r="J297" t="s">
        <v>48</v>
      </c>
      <c r="K297" t="s">
        <v>132</v>
      </c>
      <c r="L297" t="s">
        <v>57</v>
      </c>
      <c r="M297" t="s">
        <v>315</v>
      </c>
      <c r="N297">
        <v>4</v>
      </c>
      <c r="O297" t="s">
        <v>117</v>
      </c>
      <c r="P297" s="11">
        <v>5800</v>
      </c>
      <c r="Q297" t="s">
        <v>62</v>
      </c>
      <c r="R297" s="11">
        <f t="shared" si="8"/>
        <v>5800</v>
      </c>
      <c r="S297" t="str">
        <f t="shared" si="9"/>
        <v>One-Time</v>
      </c>
    </row>
    <row r="298" spans="1:19" ht="15" customHeight="1" x14ac:dyDescent="0.3">
      <c r="A298">
        <v>297</v>
      </c>
      <c r="B298" t="s">
        <v>555</v>
      </c>
      <c r="C298">
        <v>8967945</v>
      </c>
      <c r="D298" t="s">
        <v>392</v>
      </c>
      <c r="E298">
        <v>38</v>
      </c>
      <c r="F298" t="s">
        <v>76</v>
      </c>
      <c r="G298" s="10">
        <v>45406</v>
      </c>
      <c r="H298" t="s">
        <v>40</v>
      </c>
      <c r="I298" t="s">
        <v>82</v>
      </c>
      <c r="J298" t="s">
        <v>48</v>
      </c>
      <c r="K298" t="s">
        <v>132</v>
      </c>
      <c r="L298" t="s">
        <v>57</v>
      </c>
      <c r="M298" t="s">
        <v>315</v>
      </c>
      <c r="N298">
        <v>1</v>
      </c>
      <c r="O298" t="s">
        <v>117</v>
      </c>
      <c r="P298" s="11">
        <v>5800</v>
      </c>
      <c r="Q298" t="s">
        <v>556</v>
      </c>
      <c r="R298" s="11">
        <f t="shared" si="8"/>
        <v>5800</v>
      </c>
      <c r="S298" t="str">
        <f t="shared" si="9"/>
        <v>One-Time</v>
      </c>
    </row>
    <row r="299" spans="1:19" ht="15" customHeight="1" x14ac:dyDescent="0.3">
      <c r="A299">
        <v>298</v>
      </c>
      <c r="B299" t="s">
        <v>557</v>
      </c>
      <c r="C299">
        <v>5675757</v>
      </c>
      <c r="D299" t="s">
        <v>392</v>
      </c>
      <c r="E299">
        <v>19</v>
      </c>
      <c r="F299" t="s">
        <v>75</v>
      </c>
      <c r="G299" s="10">
        <v>45407</v>
      </c>
      <c r="H299" t="s">
        <v>40</v>
      </c>
      <c r="I299" t="s">
        <v>82</v>
      </c>
      <c r="J299" t="s">
        <v>48</v>
      </c>
      <c r="K299" t="s">
        <v>132</v>
      </c>
      <c r="L299" t="s">
        <v>57</v>
      </c>
      <c r="M299" t="s">
        <v>315</v>
      </c>
      <c r="N299">
        <v>47</v>
      </c>
      <c r="O299" t="s">
        <v>117</v>
      </c>
      <c r="P299" s="11">
        <v>5800</v>
      </c>
      <c r="Q299" t="s">
        <v>558</v>
      </c>
      <c r="R299" s="11">
        <f t="shared" si="8"/>
        <v>5800</v>
      </c>
      <c r="S299" t="str">
        <f t="shared" si="9"/>
        <v>One-Time</v>
      </c>
    </row>
    <row r="300" spans="1:19" ht="15" customHeight="1" x14ac:dyDescent="0.3">
      <c r="A300">
        <v>299</v>
      </c>
      <c r="B300" t="s">
        <v>559</v>
      </c>
      <c r="C300">
        <v>8218066</v>
      </c>
      <c r="D300" t="s">
        <v>114</v>
      </c>
      <c r="E300">
        <v>30</v>
      </c>
      <c r="F300" t="s">
        <v>76</v>
      </c>
      <c r="G300" s="10">
        <v>45408</v>
      </c>
      <c r="H300" t="s">
        <v>40</v>
      </c>
      <c r="I300" t="s">
        <v>82</v>
      </c>
      <c r="J300" t="s">
        <v>48</v>
      </c>
      <c r="K300" t="s">
        <v>132</v>
      </c>
      <c r="L300" t="s">
        <v>57</v>
      </c>
      <c r="M300" t="s">
        <v>315</v>
      </c>
      <c r="N300">
        <v>8</v>
      </c>
      <c r="O300" t="s">
        <v>117</v>
      </c>
      <c r="P300" s="11">
        <v>5800</v>
      </c>
      <c r="Q300" t="s">
        <v>560</v>
      </c>
      <c r="R300" s="11">
        <f t="shared" si="8"/>
        <v>5800</v>
      </c>
      <c r="S300" t="str">
        <f t="shared" si="9"/>
        <v>One-Time</v>
      </c>
    </row>
    <row r="301" spans="1:19" ht="15" customHeight="1" x14ac:dyDescent="0.3">
      <c r="A301">
        <v>300</v>
      </c>
      <c r="B301" t="s">
        <v>561</v>
      </c>
      <c r="C301">
        <v>529992</v>
      </c>
      <c r="D301" t="s">
        <v>392</v>
      </c>
      <c r="E301">
        <v>39</v>
      </c>
      <c r="F301" t="s">
        <v>76</v>
      </c>
      <c r="G301" s="10">
        <v>45409</v>
      </c>
      <c r="H301" t="s">
        <v>40</v>
      </c>
      <c r="I301" t="s">
        <v>82</v>
      </c>
      <c r="J301" t="s">
        <v>48</v>
      </c>
      <c r="K301" t="s">
        <v>132</v>
      </c>
      <c r="L301" t="s">
        <v>57</v>
      </c>
      <c r="M301" t="s">
        <v>315</v>
      </c>
      <c r="N301">
        <v>4</v>
      </c>
      <c r="O301" t="s">
        <v>117</v>
      </c>
      <c r="P301" s="11">
        <v>5800</v>
      </c>
      <c r="Q301" t="s">
        <v>150</v>
      </c>
      <c r="R301" s="11">
        <f t="shared" si="8"/>
        <v>5800</v>
      </c>
      <c r="S301" t="str">
        <f t="shared" si="9"/>
        <v>One-Time</v>
      </c>
    </row>
    <row r="302" spans="1:19" ht="15" customHeight="1" x14ac:dyDescent="0.3">
      <c r="A302">
        <v>301</v>
      </c>
      <c r="B302" t="s">
        <v>562</v>
      </c>
      <c r="C302">
        <v>6630432</v>
      </c>
      <c r="D302" t="s">
        <v>114</v>
      </c>
      <c r="E302">
        <v>66</v>
      </c>
      <c r="F302" t="s">
        <v>77</v>
      </c>
      <c r="G302" s="10">
        <v>45410</v>
      </c>
      <c r="H302" t="s">
        <v>40</v>
      </c>
      <c r="I302" t="s">
        <v>82</v>
      </c>
      <c r="J302" t="s">
        <v>48</v>
      </c>
      <c r="K302" t="s">
        <v>132</v>
      </c>
      <c r="L302" t="s">
        <v>57</v>
      </c>
      <c r="M302" t="s">
        <v>315</v>
      </c>
      <c r="N302">
        <v>5</v>
      </c>
      <c r="O302" t="s">
        <v>117</v>
      </c>
      <c r="P302" s="11">
        <v>5800</v>
      </c>
      <c r="Q302" t="s">
        <v>563</v>
      </c>
      <c r="R302" s="11">
        <f t="shared" si="8"/>
        <v>5800</v>
      </c>
      <c r="S302" t="str">
        <f t="shared" si="9"/>
        <v>One-Time</v>
      </c>
    </row>
    <row r="303" spans="1:19" ht="15" customHeight="1" x14ac:dyDescent="0.3">
      <c r="A303">
        <v>302</v>
      </c>
      <c r="B303" t="s">
        <v>564</v>
      </c>
      <c r="C303">
        <v>2194113</v>
      </c>
      <c r="D303" t="s">
        <v>392</v>
      </c>
      <c r="E303">
        <v>42</v>
      </c>
      <c r="F303" t="s">
        <v>76</v>
      </c>
      <c r="G303" s="10">
        <v>45411</v>
      </c>
      <c r="H303" t="s">
        <v>40</v>
      </c>
      <c r="I303" t="s">
        <v>82</v>
      </c>
      <c r="J303" t="s">
        <v>48</v>
      </c>
      <c r="K303" t="s">
        <v>132</v>
      </c>
      <c r="L303" t="s">
        <v>57</v>
      </c>
      <c r="M303" t="s">
        <v>315</v>
      </c>
      <c r="N303">
        <v>6</v>
      </c>
      <c r="O303" t="s">
        <v>117</v>
      </c>
      <c r="P303" s="11">
        <v>5500</v>
      </c>
      <c r="Q303" t="s">
        <v>565</v>
      </c>
      <c r="R303" s="11">
        <f t="shared" si="8"/>
        <v>5500</v>
      </c>
      <c r="S303" t="str">
        <f t="shared" si="9"/>
        <v>One-Time</v>
      </c>
    </row>
    <row r="304" spans="1:19" ht="15" customHeight="1" x14ac:dyDescent="0.3">
      <c r="A304">
        <v>303</v>
      </c>
      <c r="B304" t="s">
        <v>566</v>
      </c>
      <c r="C304">
        <v>7856161</v>
      </c>
      <c r="D304" t="s">
        <v>392</v>
      </c>
      <c r="E304">
        <v>57</v>
      </c>
      <c r="F304" t="s">
        <v>77</v>
      </c>
      <c r="G304" s="10">
        <v>45412</v>
      </c>
      <c r="H304" t="s">
        <v>40</v>
      </c>
      <c r="I304" t="s">
        <v>82</v>
      </c>
      <c r="J304" t="s">
        <v>48</v>
      </c>
      <c r="K304" t="s">
        <v>132</v>
      </c>
      <c r="L304" t="s">
        <v>57</v>
      </c>
      <c r="M304" t="s">
        <v>315</v>
      </c>
      <c r="N304">
        <v>31</v>
      </c>
      <c r="O304" t="s">
        <v>117</v>
      </c>
      <c r="P304" s="11">
        <v>5500</v>
      </c>
      <c r="Q304" t="s">
        <v>71</v>
      </c>
      <c r="R304" s="11">
        <f t="shared" si="8"/>
        <v>5500</v>
      </c>
      <c r="S304" t="str">
        <f t="shared" si="9"/>
        <v>One-Time</v>
      </c>
    </row>
    <row r="305" spans="1:19" ht="15" customHeight="1" x14ac:dyDescent="0.3">
      <c r="A305">
        <v>304</v>
      </c>
      <c r="B305" t="s">
        <v>567</v>
      </c>
      <c r="C305">
        <v>781206</v>
      </c>
      <c r="D305" t="s">
        <v>392</v>
      </c>
      <c r="E305">
        <v>26</v>
      </c>
      <c r="F305" t="s">
        <v>75</v>
      </c>
      <c r="G305" s="10">
        <v>45413</v>
      </c>
      <c r="H305" t="s">
        <v>41</v>
      </c>
      <c r="I305" t="s">
        <v>82</v>
      </c>
      <c r="J305" t="s">
        <v>48</v>
      </c>
      <c r="K305" t="s">
        <v>132</v>
      </c>
      <c r="L305" t="s">
        <v>57</v>
      </c>
      <c r="M305" t="s">
        <v>315</v>
      </c>
      <c r="N305">
        <v>2</v>
      </c>
      <c r="O305" t="s">
        <v>117</v>
      </c>
      <c r="P305" s="11">
        <v>5500</v>
      </c>
      <c r="Q305" t="s">
        <v>214</v>
      </c>
      <c r="R305" s="11">
        <f t="shared" si="8"/>
        <v>5500</v>
      </c>
      <c r="S305" t="str">
        <f t="shared" si="9"/>
        <v>One-Time</v>
      </c>
    </row>
    <row r="306" spans="1:19" ht="15" customHeight="1" x14ac:dyDescent="0.3">
      <c r="A306">
        <v>305</v>
      </c>
      <c r="B306" t="s">
        <v>568</v>
      </c>
      <c r="C306">
        <v>7780555</v>
      </c>
      <c r="D306" t="s">
        <v>392</v>
      </c>
      <c r="E306">
        <v>36</v>
      </c>
      <c r="F306" t="s">
        <v>76</v>
      </c>
      <c r="G306" s="10">
        <v>45414</v>
      </c>
      <c r="H306" t="s">
        <v>41</v>
      </c>
      <c r="I306" t="s">
        <v>84</v>
      </c>
      <c r="J306" t="s">
        <v>48</v>
      </c>
      <c r="K306" t="s">
        <v>132</v>
      </c>
      <c r="L306" t="s">
        <v>57</v>
      </c>
      <c r="M306" t="s">
        <v>315</v>
      </c>
      <c r="N306">
        <v>5</v>
      </c>
      <c r="O306" t="s">
        <v>117</v>
      </c>
      <c r="P306" s="11">
        <v>5500</v>
      </c>
      <c r="Q306" t="s">
        <v>569</v>
      </c>
      <c r="R306" s="11">
        <f t="shared" si="8"/>
        <v>0</v>
      </c>
      <c r="S306" t="str">
        <f t="shared" si="9"/>
        <v>One-Time</v>
      </c>
    </row>
    <row r="307" spans="1:19" ht="15" customHeight="1" x14ac:dyDescent="0.3">
      <c r="A307">
        <v>306</v>
      </c>
      <c r="B307" t="s">
        <v>570</v>
      </c>
      <c r="C307">
        <v>6047509</v>
      </c>
      <c r="D307" t="s">
        <v>392</v>
      </c>
      <c r="E307">
        <v>27</v>
      </c>
      <c r="F307" t="s">
        <v>75</v>
      </c>
      <c r="G307" s="10">
        <v>45415</v>
      </c>
      <c r="H307" t="s">
        <v>41</v>
      </c>
      <c r="I307" t="s">
        <v>82</v>
      </c>
      <c r="J307" t="s">
        <v>48</v>
      </c>
      <c r="K307" t="s">
        <v>125</v>
      </c>
      <c r="L307" t="s">
        <v>57</v>
      </c>
      <c r="M307" t="s">
        <v>315</v>
      </c>
      <c r="N307">
        <v>5</v>
      </c>
      <c r="O307" t="s">
        <v>117</v>
      </c>
      <c r="P307" s="11">
        <v>5500</v>
      </c>
      <c r="Q307" t="s">
        <v>69</v>
      </c>
      <c r="R307" s="11">
        <f t="shared" si="8"/>
        <v>5500</v>
      </c>
      <c r="S307" t="str">
        <f t="shared" si="9"/>
        <v>One-Time</v>
      </c>
    </row>
    <row r="308" spans="1:19" ht="15" customHeight="1" x14ac:dyDescent="0.3">
      <c r="A308">
        <v>307</v>
      </c>
      <c r="B308" t="s">
        <v>571</v>
      </c>
      <c r="C308">
        <v>6615959</v>
      </c>
      <c r="D308" t="s">
        <v>114</v>
      </c>
      <c r="E308">
        <v>18</v>
      </c>
      <c r="F308" t="s">
        <v>75</v>
      </c>
      <c r="G308" s="10">
        <v>45416</v>
      </c>
      <c r="H308" t="s">
        <v>41</v>
      </c>
      <c r="I308" t="s">
        <v>82</v>
      </c>
      <c r="J308" t="s">
        <v>48</v>
      </c>
      <c r="K308" t="s">
        <v>125</v>
      </c>
      <c r="L308" t="s">
        <v>57</v>
      </c>
      <c r="M308" t="s">
        <v>315</v>
      </c>
      <c r="N308">
        <v>8</v>
      </c>
      <c r="O308" t="s">
        <v>117</v>
      </c>
      <c r="P308" s="11">
        <v>6000</v>
      </c>
      <c r="Q308" t="s">
        <v>572</v>
      </c>
      <c r="R308" s="11">
        <f t="shared" si="8"/>
        <v>6000</v>
      </c>
      <c r="S308" t="str">
        <f t="shared" si="9"/>
        <v>Repeat</v>
      </c>
    </row>
    <row r="309" spans="1:19" ht="15" customHeight="1" x14ac:dyDescent="0.3">
      <c r="A309">
        <v>308</v>
      </c>
      <c r="B309" t="s">
        <v>571</v>
      </c>
      <c r="C309">
        <v>6615959</v>
      </c>
      <c r="D309" t="s">
        <v>392</v>
      </c>
      <c r="E309">
        <v>24</v>
      </c>
      <c r="F309" t="s">
        <v>75</v>
      </c>
      <c r="G309" s="10">
        <v>45417</v>
      </c>
      <c r="H309" t="s">
        <v>41</v>
      </c>
      <c r="I309" t="s">
        <v>82</v>
      </c>
      <c r="J309" t="s">
        <v>48</v>
      </c>
      <c r="K309" t="s">
        <v>125</v>
      </c>
      <c r="L309" t="s">
        <v>57</v>
      </c>
      <c r="M309" t="s">
        <v>315</v>
      </c>
      <c r="N309">
        <v>9</v>
      </c>
      <c r="O309" t="s">
        <v>117</v>
      </c>
      <c r="P309" s="11">
        <v>6000</v>
      </c>
      <c r="Q309" t="s">
        <v>62</v>
      </c>
      <c r="R309" s="11">
        <f t="shared" si="8"/>
        <v>6000</v>
      </c>
      <c r="S309" t="str">
        <f t="shared" si="9"/>
        <v>Repeat</v>
      </c>
    </row>
    <row r="310" spans="1:19" ht="15" customHeight="1" x14ac:dyDescent="0.3">
      <c r="A310">
        <v>309</v>
      </c>
      <c r="B310" t="s">
        <v>573</v>
      </c>
      <c r="C310">
        <v>4084518</v>
      </c>
      <c r="D310" t="s">
        <v>114</v>
      </c>
      <c r="E310">
        <v>31</v>
      </c>
      <c r="F310" t="s">
        <v>76</v>
      </c>
      <c r="G310" s="10">
        <v>45418</v>
      </c>
      <c r="H310" t="s">
        <v>41</v>
      </c>
      <c r="I310" t="s">
        <v>82</v>
      </c>
      <c r="J310" t="s">
        <v>48</v>
      </c>
      <c r="K310" t="s">
        <v>125</v>
      </c>
      <c r="L310" t="s">
        <v>57</v>
      </c>
      <c r="M310" t="s">
        <v>315</v>
      </c>
      <c r="N310">
        <v>4</v>
      </c>
      <c r="O310" t="s">
        <v>117</v>
      </c>
      <c r="P310" s="11">
        <v>6000</v>
      </c>
      <c r="Q310" t="s">
        <v>63</v>
      </c>
      <c r="R310" s="11">
        <f t="shared" si="8"/>
        <v>6000</v>
      </c>
      <c r="S310" t="str">
        <f t="shared" si="9"/>
        <v>One-Time</v>
      </c>
    </row>
    <row r="311" spans="1:19" ht="15" customHeight="1" x14ac:dyDescent="0.3">
      <c r="A311">
        <v>310</v>
      </c>
      <c r="B311" t="s">
        <v>574</v>
      </c>
      <c r="C311">
        <v>2902438</v>
      </c>
      <c r="D311" t="s">
        <v>114</v>
      </c>
      <c r="E311">
        <v>33</v>
      </c>
      <c r="F311" t="s">
        <v>76</v>
      </c>
      <c r="G311" s="10">
        <v>45419</v>
      </c>
      <c r="H311" t="s">
        <v>41</v>
      </c>
      <c r="I311" t="s">
        <v>82</v>
      </c>
      <c r="J311" t="s">
        <v>48</v>
      </c>
      <c r="K311" t="s">
        <v>125</v>
      </c>
      <c r="L311" t="s">
        <v>57</v>
      </c>
      <c r="M311" t="s">
        <v>315</v>
      </c>
      <c r="N311">
        <v>7</v>
      </c>
      <c r="O311" t="s">
        <v>117</v>
      </c>
      <c r="P311" s="11">
        <v>6000</v>
      </c>
      <c r="Q311" t="s">
        <v>67</v>
      </c>
      <c r="R311" s="11">
        <f t="shared" si="8"/>
        <v>6000</v>
      </c>
      <c r="S311" t="str">
        <f t="shared" si="9"/>
        <v>One-Time</v>
      </c>
    </row>
    <row r="312" spans="1:19" ht="15" customHeight="1" x14ac:dyDescent="0.3">
      <c r="A312">
        <v>311</v>
      </c>
      <c r="B312" t="s">
        <v>575</v>
      </c>
      <c r="C312">
        <v>6082959</v>
      </c>
      <c r="D312" t="s">
        <v>114</v>
      </c>
      <c r="E312">
        <v>40</v>
      </c>
      <c r="F312" t="s">
        <v>76</v>
      </c>
      <c r="G312" s="10">
        <v>45420</v>
      </c>
      <c r="H312" t="s">
        <v>41</v>
      </c>
      <c r="I312" t="s">
        <v>82</v>
      </c>
      <c r="J312" t="s">
        <v>48</v>
      </c>
      <c r="K312" t="s">
        <v>125</v>
      </c>
      <c r="L312" t="s">
        <v>57</v>
      </c>
      <c r="M312" t="s">
        <v>315</v>
      </c>
      <c r="N312">
        <v>8</v>
      </c>
      <c r="O312" t="s">
        <v>117</v>
      </c>
      <c r="P312" s="11">
        <v>6000</v>
      </c>
      <c r="Q312" t="s">
        <v>67</v>
      </c>
      <c r="R312" s="11">
        <f t="shared" si="8"/>
        <v>6000</v>
      </c>
      <c r="S312" t="str">
        <f t="shared" si="9"/>
        <v>One-Time</v>
      </c>
    </row>
    <row r="313" spans="1:19" ht="15" customHeight="1" x14ac:dyDescent="0.3">
      <c r="A313">
        <v>312</v>
      </c>
      <c r="B313" t="s">
        <v>576</v>
      </c>
      <c r="C313">
        <v>608880</v>
      </c>
      <c r="D313" t="s">
        <v>114</v>
      </c>
      <c r="E313">
        <v>48</v>
      </c>
      <c r="F313" t="s">
        <v>76</v>
      </c>
      <c r="G313" s="10">
        <v>45421</v>
      </c>
      <c r="H313" t="s">
        <v>41</v>
      </c>
      <c r="I313" t="s">
        <v>82</v>
      </c>
      <c r="J313" t="s">
        <v>48</v>
      </c>
      <c r="K313" t="s">
        <v>125</v>
      </c>
      <c r="L313" t="s">
        <v>57</v>
      </c>
      <c r="M313" t="s">
        <v>315</v>
      </c>
      <c r="N313">
        <v>9</v>
      </c>
      <c r="O313" t="s">
        <v>117</v>
      </c>
      <c r="P313" s="11">
        <v>6000</v>
      </c>
      <c r="Q313" t="s">
        <v>65</v>
      </c>
      <c r="R313" s="11">
        <f t="shared" si="8"/>
        <v>6000</v>
      </c>
      <c r="S313" t="str">
        <f t="shared" si="9"/>
        <v>One-Time</v>
      </c>
    </row>
    <row r="314" spans="1:19" ht="15" customHeight="1" x14ac:dyDescent="0.3">
      <c r="A314">
        <v>313</v>
      </c>
      <c r="B314" t="s">
        <v>577</v>
      </c>
      <c r="C314">
        <v>5815426</v>
      </c>
      <c r="D314" t="s">
        <v>114</v>
      </c>
      <c r="E314">
        <v>28</v>
      </c>
      <c r="F314" t="s">
        <v>75</v>
      </c>
      <c r="G314" s="10">
        <v>45422</v>
      </c>
      <c r="H314" t="s">
        <v>41</v>
      </c>
      <c r="I314" t="s">
        <v>82</v>
      </c>
      <c r="J314" t="s">
        <v>48</v>
      </c>
      <c r="K314" t="s">
        <v>125</v>
      </c>
      <c r="L314" t="s">
        <v>59</v>
      </c>
      <c r="M314" t="s">
        <v>315</v>
      </c>
      <c r="N314">
        <v>7</v>
      </c>
      <c r="O314" t="s">
        <v>117</v>
      </c>
      <c r="P314" s="11">
        <v>6000</v>
      </c>
      <c r="Q314" t="s">
        <v>578</v>
      </c>
      <c r="R314" s="11">
        <f t="shared" si="8"/>
        <v>6000</v>
      </c>
      <c r="S314" t="str">
        <f t="shared" si="9"/>
        <v>One-Time</v>
      </c>
    </row>
    <row r="315" spans="1:19" ht="15" customHeight="1" x14ac:dyDescent="0.3">
      <c r="A315">
        <v>314</v>
      </c>
      <c r="B315" t="s">
        <v>579</v>
      </c>
      <c r="C315">
        <v>4983896</v>
      </c>
      <c r="D315" t="s">
        <v>114</v>
      </c>
      <c r="E315">
        <v>41</v>
      </c>
      <c r="F315" t="s">
        <v>76</v>
      </c>
      <c r="G315" s="10">
        <v>45423</v>
      </c>
      <c r="H315" t="s">
        <v>41</v>
      </c>
      <c r="I315" t="s">
        <v>82</v>
      </c>
      <c r="J315" t="s">
        <v>48</v>
      </c>
      <c r="K315" t="s">
        <v>125</v>
      </c>
      <c r="L315" t="s">
        <v>59</v>
      </c>
      <c r="M315" t="s">
        <v>315</v>
      </c>
      <c r="N315">
        <v>6</v>
      </c>
      <c r="O315" t="s">
        <v>117</v>
      </c>
      <c r="P315" s="11">
        <v>6000</v>
      </c>
      <c r="Q315" t="s">
        <v>580</v>
      </c>
      <c r="R315" s="11">
        <f t="shared" si="8"/>
        <v>6000</v>
      </c>
      <c r="S315" t="str">
        <f t="shared" si="9"/>
        <v>One-Time</v>
      </c>
    </row>
    <row r="316" spans="1:19" ht="15" customHeight="1" x14ac:dyDescent="0.3">
      <c r="A316">
        <v>315</v>
      </c>
      <c r="B316" t="s">
        <v>581</v>
      </c>
      <c r="C316">
        <v>249073</v>
      </c>
      <c r="D316" t="s">
        <v>114</v>
      </c>
      <c r="E316">
        <v>35</v>
      </c>
      <c r="F316" t="s">
        <v>76</v>
      </c>
      <c r="G316" s="10">
        <v>45424</v>
      </c>
      <c r="H316" t="s">
        <v>41</v>
      </c>
      <c r="I316" t="s">
        <v>82</v>
      </c>
      <c r="J316" t="s">
        <v>48</v>
      </c>
      <c r="K316" t="s">
        <v>125</v>
      </c>
      <c r="L316" t="s">
        <v>59</v>
      </c>
      <c r="M316" t="s">
        <v>122</v>
      </c>
      <c r="N316">
        <v>2</v>
      </c>
      <c r="O316" t="s">
        <v>117</v>
      </c>
      <c r="P316" s="11">
        <v>6000</v>
      </c>
      <c r="Q316" t="s">
        <v>582</v>
      </c>
      <c r="R316" s="11">
        <f t="shared" si="8"/>
        <v>6000</v>
      </c>
      <c r="S316" t="str">
        <f t="shared" si="9"/>
        <v>One-Time</v>
      </c>
    </row>
    <row r="317" spans="1:19" ht="15" customHeight="1" x14ac:dyDescent="0.3">
      <c r="A317">
        <v>316</v>
      </c>
      <c r="B317" t="s">
        <v>583</v>
      </c>
      <c r="C317">
        <v>296282</v>
      </c>
      <c r="D317" t="s">
        <v>114</v>
      </c>
      <c r="E317">
        <v>27</v>
      </c>
      <c r="F317" t="s">
        <v>75</v>
      </c>
      <c r="G317" s="10">
        <v>45425</v>
      </c>
      <c r="H317" t="s">
        <v>41</v>
      </c>
      <c r="I317" t="s">
        <v>82</v>
      </c>
      <c r="J317" t="s">
        <v>48</v>
      </c>
      <c r="K317" t="s">
        <v>125</v>
      </c>
      <c r="L317" t="s">
        <v>59</v>
      </c>
      <c r="M317" t="s">
        <v>122</v>
      </c>
      <c r="N317">
        <v>8</v>
      </c>
      <c r="O317" t="s">
        <v>117</v>
      </c>
      <c r="P317" s="11">
        <v>6000</v>
      </c>
      <c r="Q317" t="s">
        <v>584</v>
      </c>
      <c r="R317" s="11">
        <f t="shared" si="8"/>
        <v>6000</v>
      </c>
      <c r="S317" t="str">
        <f t="shared" si="9"/>
        <v>One-Time</v>
      </c>
    </row>
    <row r="318" spans="1:19" ht="15" customHeight="1" x14ac:dyDescent="0.3">
      <c r="A318">
        <v>317</v>
      </c>
      <c r="B318" t="s">
        <v>585</v>
      </c>
      <c r="C318">
        <v>1853947</v>
      </c>
      <c r="D318" t="s">
        <v>114</v>
      </c>
      <c r="E318">
        <v>74</v>
      </c>
      <c r="F318" t="s">
        <v>77</v>
      </c>
      <c r="G318" s="10">
        <v>45426</v>
      </c>
      <c r="H318" t="s">
        <v>41</v>
      </c>
      <c r="I318" t="s">
        <v>82</v>
      </c>
      <c r="J318" t="s">
        <v>48</v>
      </c>
      <c r="K318" t="s">
        <v>125</v>
      </c>
      <c r="L318" t="s">
        <v>59</v>
      </c>
      <c r="M318" t="s">
        <v>122</v>
      </c>
      <c r="N318">
        <v>4</v>
      </c>
      <c r="O318" t="s">
        <v>117</v>
      </c>
      <c r="P318" s="11">
        <v>6000</v>
      </c>
      <c r="Q318" t="s">
        <v>67</v>
      </c>
      <c r="R318" s="11">
        <f t="shared" si="8"/>
        <v>6000</v>
      </c>
      <c r="S318" t="str">
        <f t="shared" si="9"/>
        <v>One-Time</v>
      </c>
    </row>
    <row r="319" spans="1:19" ht="15" customHeight="1" x14ac:dyDescent="0.3">
      <c r="A319">
        <v>318</v>
      </c>
      <c r="B319" t="s">
        <v>586</v>
      </c>
      <c r="C319">
        <v>4651921</v>
      </c>
      <c r="D319" t="s">
        <v>114</v>
      </c>
      <c r="E319">
        <v>65</v>
      </c>
      <c r="F319" t="s">
        <v>77</v>
      </c>
      <c r="G319" s="10">
        <v>45427</v>
      </c>
      <c r="H319" t="s">
        <v>41</v>
      </c>
      <c r="I319" t="s">
        <v>82</v>
      </c>
      <c r="J319" t="s">
        <v>48</v>
      </c>
      <c r="K319" t="s">
        <v>125</v>
      </c>
      <c r="L319" t="s">
        <v>59</v>
      </c>
      <c r="M319" t="s">
        <v>122</v>
      </c>
      <c r="N319">
        <v>6</v>
      </c>
      <c r="O319" t="s">
        <v>117</v>
      </c>
      <c r="P319" s="11">
        <v>6000</v>
      </c>
      <c r="Q319" t="s">
        <v>70</v>
      </c>
      <c r="R319" s="11">
        <f t="shared" si="8"/>
        <v>6000</v>
      </c>
      <c r="S319" t="str">
        <f t="shared" si="9"/>
        <v>One-Time</v>
      </c>
    </row>
    <row r="320" spans="1:19" ht="15" customHeight="1" x14ac:dyDescent="0.3">
      <c r="A320">
        <v>319</v>
      </c>
      <c r="B320" t="s">
        <v>587</v>
      </c>
      <c r="C320">
        <v>6987211</v>
      </c>
      <c r="D320" t="s">
        <v>114</v>
      </c>
      <c r="E320">
        <v>53</v>
      </c>
      <c r="F320" t="s">
        <v>77</v>
      </c>
      <c r="G320" s="10">
        <v>45428</v>
      </c>
      <c r="H320" t="s">
        <v>41</v>
      </c>
      <c r="I320" t="s">
        <v>82</v>
      </c>
      <c r="J320" t="s">
        <v>48</v>
      </c>
      <c r="K320" t="s">
        <v>125</v>
      </c>
      <c r="L320" t="s">
        <v>59</v>
      </c>
      <c r="M320" t="s">
        <v>122</v>
      </c>
      <c r="N320">
        <v>5</v>
      </c>
      <c r="O320" t="s">
        <v>117</v>
      </c>
      <c r="P320" s="11">
        <v>6000</v>
      </c>
      <c r="Q320" t="s">
        <v>588</v>
      </c>
      <c r="R320" s="11">
        <f t="shared" si="8"/>
        <v>6000</v>
      </c>
      <c r="S320" t="str">
        <f t="shared" si="9"/>
        <v>One-Time</v>
      </c>
    </row>
    <row r="321" spans="1:19" ht="15" customHeight="1" x14ac:dyDescent="0.3">
      <c r="A321">
        <v>320</v>
      </c>
      <c r="B321" t="s">
        <v>589</v>
      </c>
      <c r="C321">
        <v>4835989</v>
      </c>
      <c r="D321" t="s">
        <v>114</v>
      </c>
      <c r="E321">
        <v>48</v>
      </c>
      <c r="F321" t="s">
        <v>76</v>
      </c>
      <c r="G321" s="10">
        <v>45429</v>
      </c>
      <c r="H321" t="s">
        <v>41</v>
      </c>
      <c r="I321" t="s">
        <v>82</v>
      </c>
      <c r="J321" t="s">
        <v>48</v>
      </c>
      <c r="K321" t="s">
        <v>125</v>
      </c>
      <c r="L321" t="s">
        <v>59</v>
      </c>
      <c r="M321" t="s">
        <v>122</v>
      </c>
      <c r="N321">
        <v>23</v>
      </c>
      <c r="O321" t="s">
        <v>117</v>
      </c>
      <c r="P321" s="11">
        <v>6000</v>
      </c>
      <c r="Q321" t="s">
        <v>174</v>
      </c>
      <c r="R321" s="11">
        <f t="shared" si="8"/>
        <v>6000</v>
      </c>
      <c r="S321" t="str">
        <f t="shared" si="9"/>
        <v>Repeat</v>
      </c>
    </row>
    <row r="322" spans="1:19" ht="15" customHeight="1" x14ac:dyDescent="0.3">
      <c r="A322">
        <v>321</v>
      </c>
      <c r="B322" t="s">
        <v>589</v>
      </c>
      <c r="C322">
        <v>4835989</v>
      </c>
      <c r="D322" t="s">
        <v>114</v>
      </c>
      <c r="E322">
        <v>24</v>
      </c>
      <c r="F322" t="s">
        <v>75</v>
      </c>
      <c r="G322" s="10">
        <v>45430</v>
      </c>
      <c r="H322" t="s">
        <v>41</v>
      </c>
      <c r="I322" t="s">
        <v>82</v>
      </c>
      <c r="J322" t="s">
        <v>48</v>
      </c>
      <c r="K322" t="s">
        <v>125</v>
      </c>
      <c r="L322" t="s">
        <v>59</v>
      </c>
      <c r="M322" t="s">
        <v>122</v>
      </c>
      <c r="N322">
        <v>2</v>
      </c>
      <c r="O322" t="s">
        <v>117</v>
      </c>
      <c r="P322" s="11">
        <v>6000</v>
      </c>
      <c r="Q322" t="s">
        <v>67</v>
      </c>
      <c r="R322" s="11">
        <f t="shared" ref="R322:R385" si="10">IF(I322="Delivered",P322,0)</f>
        <v>6000</v>
      </c>
      <c r="S322" t="str">
        <f t="shared" ref="S322:S385" si="11">IF(COUNTIF($C$2:$C$1501,C322)&gt;1,"Repeat","One-Time")</f>
        <v>Repeat</v>
      </c>
    </row>
    <row r="323" spans="1:19" ht="15" customHeight="1" x14ac:dyDescent="0.3">
      <c r="A323">
        <v>322</v>
      </c>
      <c r="B323" t="s">
        <v>590</v>
      </c>
      <c r="C323">
        <v>9124078</v>
      </c>
      <c r="D323" t="s">
        <v>114</v>
      </c>
      <c r="E323">
        <v>64</v>
      </c>
      <c r="F323" t="s">
        <v>77</v>
      </c>
      <c r="G323" s="10">
        <v>45431</v>
      </c>
      <c r="H323" t="s">
        <v>41</v>
      </c>
      <c r="I323" t="s">
        <v>85</v>
      </c>
      <c r="J323" t="s">
        <v>48</v>
      </c>
      <c r="K323" t="s">
        <v>125</v>
      </c>
      <c r="L323" t="s">
        <v>59</v>
      </c>
      <c r="M323" t="s">
        <v>122</v>
      </c>
      <c r="N323">
        <v>5</v>
      </c>
      <c r="O323" t="s">
        <v>117</v>
      </c>
      <c r="P323" s="11">
        <v>5900</v>
      </c>
      <c r="Q323" t="s">
        <v>63</v>
      </c>
      <c r="R323" s="11">
        <f t="shared" si="10"/>
        <v>0</v>
      </c>
      <c r="S323" t="str">
        <f t="shared" si="11"/>
        <v>One-Time</v>
      </c>
    </row>
    <row r="324" spans="1:19" ht="15" customHeight="1" x14ac:dyDescent="0.3">
      <c r="A324">
        <v>323</v>
      </c>
      <c r="B324" t="s">
        <v>591</v>
      </c>
      <c r="C324">
        <v>1781950</v>
      </c>
      <c r="D324" t="s">
        <v>114</v>
      </c>
      <c r="E324">
        <v>30</v>
      </c>
      <c r="F324" t="s">
        <v>76</v>
      </c>
      <c r="G324" s="10">
        <v>45432</v>
      </c>
      <c r="H324" t="s">
        <v>41</v>
      </c>
      <c r="I324" t="s">
        <v>82</v>
      </c>
      <c r="J324" t="s">
        <v>48</v>
      </c>
      <c r="K324" t="s">
        <v>125</v>
      </c>
      <c r="L324" t="s">
        <v>59</v>
      </c>
      <c r="M324" t="s">
        <v>122</v>
      </c>
      <c r="N324">
        <v>9</v>
      </c>
      <c r="O324" t="s">
        <v>117</v>
      </c>
      <c r="P324" s="11">
        <v>5900</v>
      </c>
      <c r="Q324" t="s">
        <v>592</v>
      </c>
      <c r="R324" s="11">
        <f t="shared" si="10"/>
        <v>5900</v>
      </c>
      <c r="S324" t="str">
        <f t="shared" si="11"/>
        <v>One-Time</v>
      </c>
    </row>
    <row r="325" spans="1:19" ht="15" customHeight="1" x14ac:dyDescent="0.3">
      <c r="A325">
        <v>324</v>
      </c>
      <c r="B325" t="s">
        <v>593</v>
      </c>
      <c r="C325">
        <v>3695347</v>
      </c>
      <c r="D325" t="s">
        <v>114</v>
      </c>
      <c r="E325">
        <v>22</v>
      </c>
      <c r="F325" t="s">
        <v>75</v>
      </c>
      <c r="G325" s="10">
        <v>45433</v>
      </c>
      <c r="H325" t="s">
        <v>41</v>
      </c>
      <c r="I325" t="s">
        <v>82</v>
      </c>
      <c r="J325" t="s">
        <v>48</v>
      </c>
      <c r="K325" t="s">
        <v>125</v>
      </c>
      <c r="L325" t="s">
        <v>59</v>
      </c>
      <c r="M325" t="s">
        <v>122</v>
      </c>
      <c r="N325">
        <v>27</v>
      </c>
      <c r="O325" t="s">
        <v>117</v>
      </c>
      <c r="P325" s="11">
        <v>5900</v>
      </c>
      <c r="Q325" t="s">
        <v>594</v>
      </c>
      <c r="R325" s="11">
        <f t="shared" si="10"/>
        <v>5900</v>
      </c>
      <c r="S325" t="str">
        <f t="shared" si="11"/>
        <v>One-Time</v>
      </c>
    </row>
    <row r="326" spans="1:19" ht="15" customHeight="1" x14ac:dyDescent="0.3">
      <c r="A326">
        <v>325</v>
      </c>
      <c r="B326" t="s">
        <v>595</v>
      </c>
      <c r="C326">
        <v>2332327</v>
      </c>
      <c r="D326" t="s">
        <v>114</v>
      </c>
      <c r="E326">
        <v>23</v>
      </c>
      <c r="F326" t="s">
        <v>75</v>
      </c>
      <c r="G326" s="10">
        <v>45434</v>
      </c>
      <c r="H326" t="s">
        <v>41</v>
      </c>
      <c r="I326" t="s">
        <v>82</v>
      </c>
      <c r="J326" t="s">
        <v>48</v>
      </c>
      <c r="K326" t="s">
        <v>125</v>
      </c>
      <c r="L326" t="s">
        <v>59</v>
      </c>
      <c r="M326" t="s">
        <v>122</v>
      </c>
      <c r="N326">
        <v>6</v>
      </c>
      <c r="O326" t="s">
        <v>117</v>
      </c>
      <c r="P326" s="11">
        <v>5900</v>
      </c>
      <c r="Q326" t="s">
        <v>596</v>
      </c>
      <c r="R326" s="11">
        <f t="shared" si="10"/>
        <v>5900</v>
      </c>
      <c r="S326" t="str">
        <f t="shared" si="11"/>
        <v>One-Time</v>
      </c>
    </row>
    <row r="327" spans="1:19" ht="15" customHeight="1" x14ac:dyDescent="0.3">
      <c r="A327">
        <v>326</v>
      </c>
      <c r="B327" t="s">
        <v>597</v>
      </c>
      <c r="C327">
        <v>6393323</v>
      </c>
      <c r="D327" t="s">
        <v>114</v>
      </c>
      <c r="E327">
        <v>35</v>
      </c>
      <c r="F327" t="s">
        <v>76</v>
      </c>
      <c r="G327" s="10">
        <v>45435</v>
      </c>
      <c r="H327" t="s">
        <v>41</v>
      </c>
      <c r="I327" t="s">
        <v>82</v>
      </c>
      <c r="J327" t="s">
        <v>48</v>
      </c>
      <c r="K327" t="s">
        <v>125</v>
      </c>
      <c r="L327" t="s">
        <v>59</v>
      </c>
      <c r="M327" t="s">
        <v>122</v>
      </c>
      <c r="N327">
        <v>6</v>
      </c>
      <c r="O327" t="s">
        <v>117</v>
      </c>
      <c r="P327" s="11">
        <v>5900</v>
      </c>
      <c r="Q327" t="s">
        <v>598</v>
      </c>
      <c r="R327" s="11">
        <f t="shared" si="10"/>
        <v>5900</v>
      </c>
      <c r="S327" t="str">
        <f t="shared" si="11"/>
        <v>One-Time</v>
      </c>
    </row>
    <row r="328" spans="1:19" ht="15" customHeight="1" x14ac:dyDescent="0.3">
      <c r="A328">
        <v>327</v>
      </c>
      <c r="B328" t="s">
        <v>599</v>
      </c>
      <c r="C328">
        <v>1741029</v>
      </c>
      <c r="D328" t="s">
        <v>114</v>
      </c>
      <c r="E328">
        <v>20</v>
      </c>
      <c r="F328" t="s">
        <v>75</v>
      </c>
      <c r="G328" s="10">
        <v>45436</v>
      </c>
      <c r="H328" t="s">
        <v>41</v>
      </c>
      <c r="I328" t="s">
        <v>82</v>
      </c>
      <c r="J328" t="s">
        <v>48</v>
      </c>
      <c r="K328" t="s">
        <v>125</v>
      </c>
      <c r="L328" t="s">
        <v>59</v>
      </c>
      <c r="M328" t="s">
        <v>122</v>
      </c>
      <c r="N328">
        <v>2</v>
      </c>
      <c r="O328" t="s">
        <v>117</v>
      </c>
      <c r="P328" s="11">
        <v>5900</v>
      </c>
      <c r="Q328" t="s">
        <v>191</v>
      </c>
      <c r="R328" s="11">
        <f t="shared" si="10"/>
        <v>5900</v>
      </c>
      <c r="S328" t="str">
        <f t="shared" si="11"/>
        <v>One-Time</v>
      </c>
    </row>
    <row r="329" spans="1:19" ht="15" customHeight="1" x14ac:dyDescent="0.3">
      <c r="A329">
        <v>328</v>
      </c>
      <c r="B329" t="s">
        <v>600</v>
      </c>
      <c r="C329">
        <v>9462001</v>
      </c>
      <c r="D329" t="s">
        <v>114</v>
      </c>
      <c r="E329">
        <v>43</v>
      </c>
      <c r="F329" t="s">
        <v>76</v>
      </c>
      <c r="G329" s="10">
        <v>45437</v>
      </c>
      <c r="H329" t="s">
        <v>41</v>
      </c>
      <c r="I329" t="s">
        <v>82</v>
      </c>
      <c r="J329" t="s">
        <v>48</v>
      </c>
      <c r="K329" t="s">
        <v>125</v>
      </c>
      <c r="L329" t="s">
        <v>59</v>
      </c>
      <c r="M329" t="s">
        <v>122</v>
      </c>
      <c r="N329">
        <v>32</v>
      </c>
      <c r="O329" t="s">
        <v>117</v>
      </c>
      <c r="P329" s="11">
        <v>5900</v>
      </c>
      <c r="Q329" t="s">
        <v>601</v>
      </c>
      <c r="R329" s="11">
        <f t="shared" si="10"/>
        <v>5900</v>
      </c>
      <c r="S329" t="str">
        <f t="shared" si="11"/>
        <v>One-Time</v>
      </c>
    </row>
    <row r="330" spans="1:19" ht="15" customHeight="1" x14ac:dyDescent="0.3">
      <c r="A330">
        <v>329</v>
      </c>
      <c r="B330" t="s">
        <v>602</v>
      </c>
      <c r="C330">
        <v>6561746</v>
      </c>
      <c r="D330" t="s">
        <v>114</v>
      </c>
      <c r="E330">
        <v>49</v>
      </c>
      <c r="F330" t="s">
        <v>76</v>
      </c>
      <c r="G330" s="10">
        <v>45438</v>
      </c>
      <c r="H330" t="s">
        <v>41</v>
      </c>
      <c r="I330" t="s">
        <v>82</v>
      </c>
      <c r="J330" t="s">
        <v>48</v>
      </c>
      <c r="K330" t="s">
        <v>125</v>
      </c>
      <c r="L330" t="s">
        <v>59</v>
      </c>
      <c r="M330" t="s">
        <v>122</v>
      </c>
      <c r="N330">
        <v>3</v>
      </c>
      <c r="O330" t="s">
        <v>117</v>
      </c>
      <c r="P330" s="11">
        <v>5900</v>
      </c>
      <c r="Q330" t="s">
        <v>603</v>
      </c>
      <c r="R330" s="11">
        <f t="shared" si="10"/>
        <v>5900</v>
      </c>
      <c r="S330" t="str">
        <f t="shared" si="11"/>
        <v>One-Time</v>
      </c>
    </row>
    <row r="331" spans="1:19" ht="15" customHeight="1" x14ac:dyDescent="0.3">
      <c r="A331">
        <v>330</v>
      </c>
      <c r="B331" t="s">
        <v>604</v>
      </c>
      <c r="C331">
        <v>8231592</v>
      </c>
      <c r="D331" t="s">
        <v>114</v>
      </c>
      <c r="E331">
        <v>47</v>
      </c>
      <c r="F331" t="s">
        <v>76</v>
      </c>
      <c r="G331" s="10">
        <v>45439</v>
      </c>
      <c r="H331" t="s">
        <v>41</v>
      </c>
      <c r="I331" t="s">
        <v>82</v>
      </c>
      <c r="J331" t="s">
        <v>48</v>
      </c>
      <c r="K331" t="s">
        <v>125</v>
      </c>
      <c r="L331" t="s">
        <v>59</v>
      </c>
      <c r="M331" t="s">
        <v>122</v>
      </c>
      <c r="N331">
        <v>48</v>
      </c>
      <c r="O331" t="s">
        <v>117</v>
      </c>
      <c r="P331" s="11">
        <v>5900</v>
      </c>
      <c r="Q331" t="s">
        <v>605</v>
      </c>
      <c r="R331" s="11">
        <f t="shared" si="10"/>
        <v>5900</v>
      </c>
      <c r="S331" t="str">
        <f t="shared" si="11"/>
        <v>One-Time</v>
      </c>
    </row>
    <row r="332" spans="1:19" ht="15" customHeight="1" x14ac:dyDescent="0.3">
      <c r="A332">
        <v>331</v>
      </c>
      <c r="B332" t="s">
        <v>606</v>
      </c>
      <c r="C332">
        <v>1813868</v>
      </c>
      <c r="D332" t="s">
        <v>114</v>
      </c>
      <c r="E332">
        <v>41</v>
      </c>
      <c r="F332" t="s">
        <v>76</v>
      </c>
      <c r="G332" s="10">
        <v>45440</v>
      </c>
      <c r="H332" t="s">
        <v>41</v>
      </c>
      <c r="I332" t="s">
        <v>82</v>
      </c>
      <c r="J332" t="s">
        <v>48</v>
      </c>
      <c r="K332" t="s">
        <v>125</v>
      </c>
      <c r="L332" t="s">
        <v>59</v>
      </c>
      <c r="M332" t="s">
        <v>122</v>
      </c>
      <c r="N332">
        <v>5</v>
      </c>
      <c r="O332" t="s">
        <v>117</v>
      </c>
      <c r="P332" s="11">
        <v>5900</v>
      </c>
      <c r="Q332" t="s">
        <v>607</v>
      </c>
      <c r="R332" s="11">
        <f t="shared" si="10"/>
        <v>5900</v>
      </c>
      <c r="S332" t="str">
        <f t="shared" si="11"/>
        <v>One-Time</v>
      </c>
    </row>
    <row r="333" spans="1:19" ht="15" customHeight="1" x14ac:dyDescent="0.3">
      <c r="A333">
        <v>332</v>
      </c>
      <c r="B333" t="s">
        <v>608</v>
      </c>
      <c r="C333">
        <v>5627675</v>
      </c>
      <c r="D333" t="s">
        <v>114</v>
      </c>
      <c r="E333">
        <v>40</v>
      </c>
      <c r="F333" t="s">
        <v>76</v>
      </c>
      <c r="G333" s="10">
        <v>45441</v>
      </c>
      <c r="H333" t="s">
        <v>41</v>
      </c>
      <c r="I333" t="s">
        <v>85</v>
      </c>
      <c r="J333" t="s">
        <v>48</v>
      </c>
      <c r="K333" t="s">
        <v>128</v>
      </c>
      <c r="L333" t="s">
        <v>59</v>
      </c>
      <c r="M333" t="s">
        <v>122</v>
      </c>
      <c r="N333">
        <v>2</v>
      </c>
      <c r="O333" t="s">
        <v>117</v>
      </c>
      <c r="P333" s="11">
        <v>5900</v>
      </c>
      <c r="Q333" t="s">
        <v>609</v>
      </c>
      <c r="R333" s="11">
        <f t="shared" si="10"/>
        <v>0</v>
      </c>
      <c r="S333" t="str">
        <f t="shared" si="11"/>
        <v>One-Time</v>
      </c>
    </row>
    <row r="334" spans="1:19" ht="15" customHeight="1" x14ac:dyDescent="0.3">
      <c r="A334">
        <v>333</v>
      </c>
      <c r="B334" t="s">
        <v>610</v>
      </c>
      <c r="C334">
        <v>2239856</v>
      </c>
      <c r="D334" t="s">
        <v>114</v>
      </c>
      <c r="E334">
        <v>42</v>
      </c>
      <c r="F334" t="s">
        <v>76</v>
      </c>
      <c r="G334" s="10">
        <v>45442</v>
      </c>
      <c r="H334" t="s">
        <v>41</v>
      </c>
      <c r="I334" t="s">
        <v>83</v>
      </c>
      <c r="J334" t="s">
        <v>48</v>
      </c>
      <c r="K334" t="s">
        <v>128</v>
      </c>
      <c r="L334" t="s">
        <v>59</v>
      </c>
      <c r="M334" t="s">
        <v>122</v>
      </c>
      <c r="N334">
        <v>9</v>
      </c>
      <c r="O334" t="s">
        <v>117</v>
      </c>
      <c r="P334" s="11">
        <v>5900</v>
      </c>
      <c r="Q334" t="s">
        <v>62</v>
      </c>
      <c r="R334" s="11">
        <f t="shared" si="10"/>
        <v>0</v>
      </c>
      <c r="S334" t="str">
        <f t="shared" si="11"/>
        <v>One-Time</v>
      </c>
    </row>
    <row r="335" spans="1:19" ht="15" customHeight="1" x14ac:dyDescent="0.3">
      <c r="A335">
        <v>334</v>
      </c>
      <c r="B335" t="s">
        <v>611</v>
      </c>
      <c r="C335">
        <v>7546685</v>
      </c>
      <c r="D335" t="s">
        <v>114</v>
      </c>
      <c r="E335">
        <v>42</v>
      </c>
      <c r="F335" t="s">
        <v>76</v>
      </c>
      <c r="G335" s="10">
        <v>45443</v>
      </c>
      <c r="H335" t="s">
        <v>41</v>
      </c>
      <c r="I335" t="s">
        <v>82</v>
      </c>
      <c r="J335" t="s">
        <v>48</v>
      </c>
      <c r="K335" t="s">
        <v>128</v>
      </c>
      <c r="L335" t="s">
        <v>59</v>
      </c>
      <c r="M335" t="s">
        <v>122</v>
      </c>
      <c r="N335">
        <v>7</v>
      </c>
      <c r="O335" t="s">
        <v>117</v>
      </c>
      <c r="P335" s="11">
        <v>5900</v>
      </c>
      <c r="Q335" t="s">
        <v>65</v>
      </c>
      <c r="R335" s="11">
        <f t="shared" si="10"/>
        <v>5900</v>
      </c>
      <c r="S335" t="str">
        <f t="shared" si="11"/>
        <v>One-Time</v>
      </c>
    </row>
    <row r="336" spans="1:19" ht="15" customHeight="1" x14ac:dyDescent="0.3">
      <c r="A336">
        <v>335</v>
      </c>
      <c r="B336" t="s">
        <v>612</v>
      </c>
      <c r="C336">
        <v>3017458</v>
      </c>
      <c r="D336" t="s">
        <v>114</v>
      </c>
      <c r="E336">
        <v>28</v>
      </c>
      <c r="F336" t="s">
        <v>75</v>
      </c>
      <c r="G336" s="10">
        <v>45444</v>
      </c>
      <c r="H336" t="s">
        <v>42</v>
      </c>
      <c r="I336" t="s">
        <v>82</v>
      </c>
      <c r="J336" t="s">
        <v>48</v>
      </c>
      <c r="K336" t="s">
        <v>128</v>
      </c>
      <c r="L336" t="s">
        <v>59</v>
      </c>
      <c r="M336" t="s">
        <v>122</v>
      </c>
      <c r="N336">
        <v>2</v>
      </c>
      <c r="O336" t="s">
        <v>117</v>
      </c>
      <c r="P336" s="11">
        <v>5900</v>
      </c>
      <c r="Q336" t="s">
        <v>613</v>
      </c>
      <c r="R336" s="11">
        <f t="shared" si="10"/>
        <v>5900</v>
      </c>
      <c r="S336" t="str">
        <f t="shared" si="11"/>
        <v>One-Time</v>
      </c>
    </row>
    <row r="337" spans="1:19" ht="15" customHeight="1" x14ac:dyDescent="0.3">
      <c r="A337">
        <v>336</v>
      </c>
      <c r="B337" t="s">
        <v>614</v>
      </c>
      <c r="C337">
        <v>5708054</v>
      </c>
      <c r="D337" t="s">
        <v>114</v>
      </c>
      <c r="E337">
        <v>38</v>
      </c>
      <c r="F337" t="s">
        <v>76</v>
      </c>
      <c r="G337" s="10">
        <v>45445</v>
      </c>
      <c r="H337" t="s">
        <v>42</v>
      </c>
      <c r="I337" t="s">
        <v>82</v>
      </c>
      <c r="J337" t="s">
        <v>48</v>
      </c>
      <c r="K337" t="s">
        <v>128</v>
      </c>
      <c r="L337" t="s">
        <v>59</v>
      </c>
      <c r="M337" t="s">
        <v>122</v>
      </c>
      <c r="N337">
        <v>8</v>
      </c>
      <c r="O337" t="s">
        <v>117</v>
      </c>
      <c r="P337" s="11">
        <v>5900</v>
      </c>
      <c r="Q337" t="s">
        <v>67</v>
      </c>
      <c r="R337" s="11">
        <f t="shared" si="10"/>
        <v>5900</v>
      </c>
      <c r="S337" t="str">
        <f t="shared" si="11"/>
        <v>One-Time</v>
      </c>
    </row>
    <row r="338" spans="1:19" ht="15" customHeight="1" x14ac:dyDescent="0.3">
      <c r="A338">
        <v>337</v>
      </c>
      <c r="B338" t="s">
        <v>615</v>
      </c>
      <c r="C338">
        <v>9342662</v>
      </c>
      <c r="D338" t="s">
        <v>114</v>
      </c>
      <c r="E338">
        <v>39</v>
      </c>
      <c r="F338" t="s">
        <v>76</v>
      </c>
      <c r="G338" s="10">
        <v>45446</v>
      </c>
      <c r="H338" t="s">
        <v>42</v>
      </c>
      <c r="I338" t="s">
        <v>82</v>
      </c>
      <c r="J338" t="s">
        <v>48</v>
      </c>
      <c r="K338" t="s">
        <v>128</v>
      </c>
      <c r="L338" t="s">
        <v>59</v>
      </c>
      <c r="M338" t="s">
        <v>122</v>
      </c>
      <c r="N338">
        <v>4</v>
      </c>
      <c r="O338" t="s">
        <v>117</v>
      </c>
      <c r="P338" s="11">
        <v>5900</v>
      </c>
      <c r="Q338" t="s">
        <v>204</v>
      </c>
      <c r="R338" s="11">
        <f t="shared" si="10"/>
        <v>5900</v>
      </c>
      <c r="S338" t="str">
        <f t="shared" si="11"/>
        <v>One-Time</v>
      </c>
    </row>
    <row r="339" spans="1:19" ht="15" customHeight="1" x14ac:dyDescent="0.3">
      <c r="A339">
        <v>338</v>
      </c>
      <c r="B339" t="s">
        <v>616</v>
      </c>
      <c r="C339">
        <v>9584565</v>
      </c>
      <c r="D339" t="s">
        <v>114</v>
      </c>
      <c r="E339">
        <v>67</v>
      </c>
      <c r="F339" t="s">
        <v>77</v>
      </c>
      <c r="G339" s="10">
        <v>45447</v>
      </c>
      <c r="H339" t="s">
        <v>42</v>
      </c>
      <c r="I339" t="s">
        <v>82</v>
      </c>
      <c r="J339" t="s">
        <v>48</v>
      </c>
      <c r="K339" t="s">
        <v>128</v>
      </c>
      <c r="L339" t="s">
        <v>59</v>
      </c>
      <c r="M339" t="s">
        <v>122</v>
      </c>
      <c r="N339">
        <v>5</v>
      </c>
      <c r="O339" t="s">
        <v>117</v>
      </c>
      <c r="P339" s="11">
        <v>5900</v>
      </c>
      <c r="Q339" t="s">
        <v>617</v>
      </c>
      <c r="R339" s="11">
        <f t="shared" si="10"/>
        <v>5900</v>
      </c>
      <c r="S339" t="str">
        <f t="shared" si="11"/>
        <v>One-Time</v>
      </c>
    </row>
    <row r="340" spans="1:19" ht="15" customHeight="1" x14ac:dyDescent="0.3">
      <c r="A340">
        <v>339</v>
      </c>
      <c r="B340" t="s">
        <v>618</v>
      </c>
      <c r="C340">
        <v>229964</v>
      </c>
      <c r="D340" t="s">
        <v>114</v>
      </c>
      <c r="E340">
        <v>65</v>
      </c>
      <c r="F340" t="s">
        <v>77</v>
      </c>
      <c r="G340" s="10">
        <v>45448</v>
      </c>
      <c r="H340" t="s">
        <v>42</v>
      </c>
      <c r="I340" t="s">
        <v>82</v>
      </c>
      <c r="J340" t="s">
        <v>48</v>
      </c>
      <c r="K340" t="s">
        <v>128</v>
      </c>
      <c r="L340" t="s">
        <v>59</v>
      </c>
      <c r="M340" t="s">
        <v>122</v>
      </c>
      <c r="N340">
        <v>6</v>
      </c>
      <c r="O340" t="s">
        <v>117</v>
      </c>
      <c r="P340" s="11">
        <v>5900</v>
      </c>
      <c r="Q340" t="s">
        <v>63</v>
      </c>
      <c r="R340" s="11">
        <f t="shared" si="10"/>
        <v>5900</v>
      </c>
      <c r="S340" t="str">
        <f t="shared" si="11"/>
        <v>One-Time</v>
      </c>
    </row>
    <row r="341" spans="1:19" ht="15" customHeight="1" x14ac:dyDescent="0.3">
      <c r="A341">
        <v>340</v>
      </c>
      <c r="B341" t="s">
        <v>619</v>
      </c>
      <c r="C341">
        <v>2567899</v>
      </c>
      <c r="D341" t="s">
        <v>114</v>
      </c>
      <c r="E341">
        <v>67</v>
      </c>
      <c r="F341" t="s">
        <v>77</v>
      </c>
      <c r="G341" s="10">
        <v>45449</v>
      </c>
      <c r="H341" t="s">
        <v>42</v>
      </c>
      <c r="I341" t="s">
        <v>82</v>
      </c>
      <c r="J341" t="s">
        <v>48</v>
      </c>
      <c r="K341" t="s">
        <v>128</v>
      </c>
      <c r="L341" t="s">
        <v>59</v>
      </c>
      <c r="M341" t="s">
        <v>122</v>
      </c>
      <c r="N341">
        <v>31</v>
      </c>
      <c r="O341" t="s">
        <v>117</v>
      </c>
      <c r="P341" s="11">
        <v>5900</v>
      </c>
      <c r="Q341" t="s">
        <v>313</v>
      </c>
      <c r="R341" s="11">
        <f t="shared" si="10"/>
        <v>5900</v>
      </c>
      <c r="S341" t="str">
        <f t="shared" si="11"/>
        <v>One-Time</v>
      </c>
    </row>
    <row r="342" spans="1:19" ht="15" customHeight="1" x14ac:dyDescent="0.3">
      <c r="A342">
        <v>341</v>
      </c>
      <c r="B342" t="s">
        <v>620</v>
      </c>
      <c r="C342">
        <v>3120227</v>
      </c>
      <c r="D342" t="s">
        <v>114</v>
      </c>
      <c r="E342">
        <v>77</v>
      </c>
      <c r="F342" t="s">
        <v>77</v>
      </c>
      <c r="G342" s="10">
        <v>45450</v>
      </c>
      <c r="H342" t="s">
        <v>42</v>
      </c>
      <c r="I342" t="s">
        <v>82</v>
      </c>
      <c r="J342" t="s">
        <v>48</v>
      </c>
      <c r="K342" t="s">
        <v>128</v>
      </c>
      <c r="L342" t="s">
        <v>58</v>
      </c>
      <c r="M342" t="s">
        <v>122</v>
      </c>
      <c r="N342">
        <v>2</v>
      </c>
      <c r="O342" t="s">
        <v>117</v>
      </c>
      <c r="P342" s="11">
        <v>5900</v>
      </c>
      <c r="Q342" t="s">
        <v>621</v>
      </c>
      <c r="R342" s="11">
        <f t="shared" si="10"/>
        <v>5900</v>
      </c>
      <c r="S342" t="str">
        <f t="shared" si="11"/>
        <v>One-Time</v>
      </c>
    </row>
    <row r="343" spans="1:19" ht="15" customHeight="1" x14ac:dyDescent="0.3">
      <c r="A343">
        <v>342</v>
      </c>
      <c r="B343" t="s">
        <v>622</v>
      </c>
      <c r="C343">
        <v>1162355</v>
      </c>
      <c r="D343" t="s">
        <v>114</v>
      </c>
      <c r="E343">
        <v>36</v>
      </c>
      <c r="F343" t="s">
        <v>76</v>
      </c>
      <c r="G343" s="10">
        <v>45451</v>
      </c>
      <c r="H343" t="s">
        <v>42</v>
      </c>
      <c r="I343" t="s">
        <v>82</v>
      </c>
      <c r="J343" t="s">
        <v>48</v>
      </c>
      <c r="K343" t="s">
        <v>128</v>
      </c>
      <c r="L343" t="s">
        <v>58</v>
      </c>
      <c r="M343" t="s">
        <v>122</v>
      </c>
      <c r="N343">
        <v>5</v>
      </c>
      <c r="O343" t="s">
        <v>117</v>
      </c>
      <c r="P343" s="11">
        <v>5900</v>
      </c>
      <c r="Q343" t="s">
        <v>64</v>
      </c>
      <c r="R343" s="11">
        <f t="shared" si="10"/>
        <v>5900</v>
      </c>
      <c r="S343" t="str">
        <f t="shared" si="11"/>
        <v>One-Time</v>
      </c>
    </row>
    <row r="344" spans="1:19" ht="15" customHeight="1" x14ac:dyDescent="0.3">
      <c r="A344">
        <v>343</v>
      </c>
      <c r="B344" t="s">
        <v>623</v>
      </c>
      <c r="C344">
        <v>2844001</v>
      </c>
      <c r="D344" t="s">
        <v>114</v>
      </c>
      <c r="E344">
        <v>53</v>
      </c>
      <c r="F344" t="s">
        <v>77</v>
      </c>
      <c r="G344" s="10">
        <v>45452</v>
      </c>
      <c r="H344" t="s">
        <v>42</v>
      </c>
      <c r="I344" t="s">
        <v>82</v>
      </c>
      <c r="J344" t="s">
        <v>48</v>
      </c>
      <c r="K344" t="s">
        <v>128</v>
      </c>
      <c r="L344" t="s">
        <v>58</v>
      </c>
      <c r="M344" t="s">
        <v>122</v>
      </c>
      <c r="N344">
        <v>5</v>
      </c>
      <c r="O344" t="s">
        <v>117</v>
      </c>
      <c r="P344" s="11">
        <v>5900</v>
      </c>
      <c r="Q344" t="s">
        <v>63</v>
      </c>
      <c r="R344" s="11">
        <f t="shared" si="10"/>
        <v>5900</v>
      </c>
      <c r="S344" t="str">
        <f t="shared" si="11"/>
        <v>One-Time</v>
      </c>
    </row>
    <row r="345" spans="1:19" ht="15" customHeight="1" x14ac:dyDescent="0.3">
      <c r="A345">
        <v>344</v>
      </c>
      <c r="B345" t="s">
        <v>624</v>
      </c>
      <c r="C345">
        <v>1796640</v>
      </c>
      <c r="D345" t="s">
        <v>114</v>
      </c>
      <c r="E345">
        <v>26</v>
      </c>
      <c r="F345" t="s">
        <v>75</v>
      </c>
      <c r="G345" s="10">
        <v>45453</v>
      </c>
      <c r="H345" t="s">
        <v>42</v>
      </c>
      <c r="I345" t="s">
        <v>82</v>
      </c>
      <c r="J345" t="s">
        <v>48</v>
      </c>
      <c r="K345" t="s">
        <v>128</v>
      </c>
      <c r="L345" t="s">
        <v>58</v>
      </c>
      <c r="M345" t="s">
        <v>122</v>
      </c>
      <c r="N345">
        <v>8</v>
      </c>
      <c r="O345" t="s">
        <v>117</v>
      </c>
      <c r="P345" s="11">
        <v>5900</v>
      </c>
      <c r="Q345" t="s">
        <v>278</v>
      </c>
      <c r="R345" s="11">
        <f t="shared" si="10"/>
        <v>5900</v>
      </c>
      <c r="S345" t="str">
        <f t="shared" si="11"/>
        <v>One-Time</v>
      </c>
    </row>
    <row r="346" spans="1:19" ht="15" customHeight="1" x14ac:dyDescent="0.3">
      <c r="A346">
        <v>345</v>
      </c>
      <c r="B346" t="s">
        <v>625</v>
      </c>
      <c r="C346">
        <v>223976</v>
      </c>
      <c r="D346" t="s">
        <v>114</v>
      </c>
      <c r="E346">
        <v>43</v>
      </c>
      <c r="F346" t="s">
        <v>76</v>
      </c>
      <c r="G346" s="10">
        <v>45454</v>
      </c>
      <c r="H346" t="s">
        <v>42</v>
      </c>
      <c r="I346" t="s">
        <v>83</v>
      </c>
      <c r="J346" t="s">
        <v>48</v>
      </c>
      <c r="K346" t="s">
        <v>128</v>
      </c>
      <c r="L346" t="s">
        <v>58</v>
      </c>
      <c r="M346" t="s">
        <v>122</v>
      </c>
      <c r="N346">
        <v>9</v>
      </c>
      <c r="O346" t="s">
        <v>117</v>
      </c>
      <c r="P346" s="11">
        <v>5900</v>
      </c>
      <c r="Q346" t="s">
        <v>626</v>
      </c>
      <c r="R346" s="11">
        <f t="shared" si="10"/>
        <v>0</v>
      </c>
      <c r="S346" t="str">
        <f t="shared" si="11"/>
        <v>One-Time</v>
      </c>
    </row>
    <row r="347" spans="1:19" ht="15" customHeight="1" x14ac:dyDescent="0.3">
      <c r="A347">
        <v>346</v>
      </c>
      <c r="B347" t="s">
        <v>627</v>
      </c>
      <c r="C347">
        <v>8085873</v>
      </c>
      <c r="D347" t="s">
        <v>114</v>
      </c>
      <c r="E347">
        <v>59</v>
      </c>
      <c r="F347" t="s">
        <v>77</v>
      </c>
      <c r="G347" s="10">
        <v>45455</v>
      </c>
      <c r="H347" t="s">
        <v>42</v>
      </c>
      <c r="I347" t="s">
        <v>82</v>
      </c>
      <c r="J347" t="s">
        <v>48</v>
      </c>
      <c r="K347" t="s">
        <v>128</v>
      </c>
      <c r="L347" t="s">
        <v>58</v>
      </c>
      <c r="M347" t="s">
        <v>122</v>
      </c>
      <c r="N347">
        <v>4</v>
      </c>
      <c r="O347" t="s">
        <v>117</v>
      </c>
      <c r="P347" s="11">
        <v>5900</v>
      </c>
      <c r="Q347" t="s">
        <v>62</v>
      </c>
      <c r="R347" s="11">
        <f t="shared" si="10"/>
        <v>5900</v>
      </c>
      <c r="S347" t="str">
        <f t="shared" si="11"/>
        <v>One-Time</v>
      </c>
    </row>
    <row r="348" spans="1:19" ht="15" customHeight="1" x14ac:dyDescent="0.3">
      <c r="A348">
        <v>347</v>
      </c>
      <c r="B348" t="s">
        <v>628</v>
      </c>
      <c r="C348">
        <v>7767130</v>
      </c>
      <c r="D348" t="s">
        <v>114</v>
      </c>
      <c r="E348">
        <v>29</v>
      </c>
      <c r="F348" t="s">
        <v>75</v>
      </c>
      <c r="G348" s="10">
        <v>45456</v>
      </c>
      <c r="H348" t="s">
        <v>42</v>
      </c>
      <c r="I348" t="s">
        <v>82</v>
      </c>
      <c r="J348" t="s">
        <v>48</v>
      </c>
      <c r="K348" t="s">
        <v>128</v>
      </c>
      <c r="L348" t="s">
        <v>58</v>
      </c>
      <c r="M348" t="s">
        <v>122</v>
      </c>
      <c r="N348">
        <v>7</v>
      </c>
      <c r="O348" t="s">
        <v>117</v>
      </c>
      <c r="P348" s="11">
        <v>5900</v>
      </c>
      <c r="Q348" t="s">
        <v>275</v>
      </c>
      <c r="R348" s="11">
        <f t="shared" si="10"/>
        <v>5900</v>
      </c>
      <c r="S348" t="str">
        <f t="shared" si="11"/>
        <v>One-Time</v>
      </c>
    </row>
    <row r="349" spans="1:19" ht="15" customHeight="1" x14ac:dyDescent="0.3">
      <c r="A349">
        <v>348</v>
      </c>
      <c r="B349" t="s">
        <v>629</v>
      </c>
      <c r="C349">
        <v>2118526</v>
      </c>
      <c r="D349" t="s">
        <v>114</v>
      </c>
      <c r="E349">
        <v>34</v>
      </c>
      <c r="F349" t="s">
        <v>76</v>
      </c>
      <c r="G349" s="10">
        <v>45457</v>
      </c>
      <c r="H349" t="s">
        <v>42</v>
      </c>
      <c r="I349" t="s">
        <v>82</v>
      </c>
      <c r="J349" t="s">
        <v>48</v>
      </c>
      <c r="K349" t="s">
        <v>128</v>
      </c>
      <c r="L349" t="s">
        <v>58</v>
      </c>
      <c r="M349" t="s">
        <v>122</v>
      </c>
      <c r="N349">
        <v>8</v>
      </c>
      <c r="O349" t="s">
        <v>117</v>
      </c>
      <c r="P349" s="11">
        <v>5900</v>
      </c>
      <c r="Q349" t="s">
        <v>250</v>
      </c>
      <c r="R349" s="11">
        <f t="shared" si="10"/>
        <v>5900</v>
      </c>
      <c r="S349" t="str">
        <f t="shared" si="11"/>
        <v>One-Time</v>
      </c>
    </row>
    <row r="350" spans="1:19" ht="15" customHeight="1" x14ac:dyDescent="0.3">
      <c r="A350">
        <v>349</v>
      </c>
      <c r="B350" t="s">
        <v>630</v>
      </c>
      <c r="C350">
        <v>7688970</v>
      </c>
      <c r="D350" t="s">
        <v>114</v>
      </c>
      <c r="E350">
        <v>57</v>
      </c>
      <c r="F350" t="s">
        <v>77</v>
      </c>
      <c r="G350" s="10">
        <v>45458</v>
      </c>
      <c r="H350" t="s">
        <v>42</v>
      </c>
      <c r="I350" t="s">
        <v>82</v>
      </c>
      <c r="J350" t="s">
        <v>48</v>
      </c>
      <c r="K350" t="s">
        <v>128</v>
      </c>
      <c r="L350" t="s">
        <v>58</v>
      </c>
      <c r="M350" t="s">
        <v>122</v>
      </c>
      <c r="N350">
        <v>32</v>
      </c>
      <c r="O350" t="s">
        <v>117</v>
      </c>
      <c r="P350" s="11">
        <v>5900</v>
      </c>
      <c r="Q350" t="s">
        <v>631</v>
      </c>
      <c r="R350" s="11">
        <f t="shared" si="10"/>
        <v>5900</v>
      </c>
      <c r="S350" t="str">
        <f t="shared" si="11"/>
        <v>One-Time</v>
      </c>
    </row>
    <row r="351" spans="1:19" ht="15" customHeight="1" x14ac:dyDescent="0.3">
      <c r="A351">
        <v>350</v>
      </c>
      <c r="B351" t="s">
        <v>632</v>
      </c>
      <c r="C351">
        <v>3678042</v>
      </c>
      <c r="D351" t="s">
        <v>114</v>
      </c>
      <c r="E351">
        <v>30</v>
      </c>
      <c r="F351" t="s">
        <v>76</v>
      </c>
      <c r="G351" s="10">
        <v>45459</v>
      </c>
      <c r="H351" t="s">
        <v>42</v>
      </c>
      <c r="I351" t="s">
        <v>82</v>
      </c>
      <c r="J351" t="s">
        <v>48</v>
      </c>
      <c r="K351" t="s">
        <v>128</v>
      </c>
      <c r="L351" t="s">
        <v>58</v>
      </c>
      <c r="M351" t="s">
        <v>122</v>
      </c>
      <c r="N351">
        <v>3</v>
      </c>
      <c r="O351" t="s">
        <v>117</v>
      </c>
      <c r="P351" s="11">
        <v>5900</v>
      </c>
      <c r="Q351" t="s">
        <v>633</v>
      </c>
      <c r="R351" s="11">
        <f t="shared" si="10"/>
        <v>5900</v>
      </c>
      <c r="S351" t="str">
        <f t="shared" si="11"/>
        <v>One-Time</v>
      </c>
    </row>
    <row r="352" spans="1:19" ht="15" customHeight="1" x14ac:dyDescent="0.3">
      <c r="A352">
        <v>351</v>
      </c>
      <c r="B352" t="s">
        <v>634</v>
      </c>
      <c r="C352">
        <v>4725061</v>
      </c>
      <c r="D352" t="s">
        <v>114</v>
      </c>
      <c r="E352">
        <v>26</v>
      </c>
      <c r="F352" t="s">
        <v>75</v>
      </c>
      <c r="G352" s="10">
        <v>45460</v>
      </c>
      <c r="H352" t="s">
        <v>42</v>
      </c>
      <c r="I352" t="s">
        <v>82</v>
      </c>
      <c r="J352" t="s">
        <v>48</v>
      </c>
      <c r="K352" t="s">
        <v>128</v>
      </c>
      <c r="L352" t="s">
        <v>58</v>
      </c>
      <c r="M352" t="s">
        <v>122</v>
      </c>
      <c r="N352">
        <v>48</v>
      </c>
      <c r="O352" t="s">
        <v>117</v>
      </c>
      <c r="P352" s="11">
        <v>5900</v>
      </c>
      <c r="Q352" t="s">
        <v>64</v>
      </c>
      <c r="R352" s="11">
        <f t="shared" si="10"/>
        <v>5900</v>
      </c>
      <c r="S352" t="str">
        <f t="shared" si="11"/>
        <v>One-Time</v>
      </c>
    </row>
    <row r="353" spans="1:19" ht="15" customHeight="1" x14ac:dyDescent="0.3">
      <c r="A353">
        <v>352</v>
      </c>
      <c r="B353" t="s">
        <v>635</v>
      </c>
      <c r="C353">
        <v>8125364</v>
      </c>
      <c r="D353" t="s">
        <v>114</v>
      </c>
      <c r="E353">
        <v>32</v>
      </c>
      <c r="F353" t="s">
        <v>76</v>
      </c>
      <c r="G353" s="10">
        <v>45461</v>
      </c>
      <c r="H353" t="s">
        <v>42</v>
      </c>
      <c r="I353" t="s">
        <v>82</v>
      </c>
      <c r="J353" t="s">
        <v>48</v>
      </c>
      <c r="K353" t="s">
        <v>128</v>
      </c>
      <c r="L353" t="s">
        <v>58</v>
      </c>
      <c r="M353" t="s">
        <v>122</v>
      </c>
      <c r="N353">
        <v>5</v>
      </c>
      <c r="O353" t="s">
        <v>117</v>
      </c>
      <c r="P353" s="11">
        <v>5900</v>
      </c>
      <c r="Q353" t="s">
        <v>524</v>
      </c>
      <c r="R353" s="11">
        <f t="shared" si="10"/>
        <v>5900</v>
      </c>
      <c r="S353" t="str">
        <f t="shared" si="11"/>
        <v>One-Time</v>
      </c>
    </row>
    <row r="354" spans="1:19" ht="15" customHeight="1" x14ac:dyDescent="0.3">
      <c r="A354">
        <v>353</v>
      </c>
      <c r="B354" t="s">
        <v>636</v>
      </c>
      <c r="C354">
        <v>7787158</v>
      </c>
      <c r="D354" t="s">
        <v>114</v>
      </c>
      <c r="E354">
        <v>60</v>
      </c>
      <c r="F354" t="s">
        <v>77</v>
      </c>
      <c r="G354" s="10">
        <v>45462</v>
      </c>
      <c r="H354" t="s">
        <v>42</v>
      </c>
      <c r="I354" t="s">
        <v>82</v>
      </c>
      <c r="J354" t="s">
        <v>48</v>
      </c>
      <c r="K354" t="s">
        <v>128</v>
      </c>
      <c r="L354" t="s">
        <v>58</v>
      </c>
      <c r="M354" t="s">
        <v>122</v>
      </c>
      <c r="N354">
        <v>2</v>
      </c>
      <c r="O354" t="s">
        <v>117</v>
      </c>
      <c r="P354" s="11">
        <v>5900</v>
      </c>
      <c r="Q354" t="s">
        <v>637</v>
      </c>
      <c r="R354" s="11">
        <f t="shared" si="10"/>
        <v>5900</v>
      </c>
      <c r="S354" t="str">
        <f t="shared" si="11"/>
        <v>One-Time</v>
      </c>
    </row>
    <row r="355" spans="1:19" ht="15" customHeight="1" x14ac:dyDescent="0.3">
      <c r="A355">
        <v>354</v>
      </c>
      <c r="B355" t="s">
        <v>638</v>
      </c>
      <c r="C355">
        <v>1559586</v>
      </c>
      <c r="D355" t="s">
        <v>114</v>
      </c>
      <c r="E355">
        <v>37</v>
      </c>
      <c r="F355" t="s">
        <v>76</v>
      </c>
      <c r="G355" s="10">
        <v>45463</v>
      </c>
      <c r="H355" t="s">
        <v>42</v>
      </c>
      <c r="I355" t="s">
        <v>82</v>
      </c>
      <c r="J355" t="s">
        <v>48</v>
      </c>
      <c r="K355" t="s">
        <v>128</v>
      </c>
      <c r="L355" t="s">
        <v>58</v>
      </c>
      <c r="M355" t="s">
        <v>315</v>
      </c>
      <c r="N355">
        <v>9</v>
      </c>
      <c r="O355" t="s">
        <v>117</v>
      </c>
      <c r="P355" s="11">
        <v>5900</v>
      </c>
      <c r="Q355" t="s">
        <v>63</v>
      </c>
      <c r="R355" s="11">
        <f t="shared" si="10"/>
        <v>5900</v>
      </c>
      <c r="S355" t="str">
        <f t="shared" si="11"/>
        <v>One-Time</v>
      </c>
    </row>
    <row r="356" spans="1:19" ht="15" customHeight="1" x14ac:dyDescent="0.3">
      <c r="A356">
        <v>355</v>
      </c>
      <c r="B356" t="s">
        <v>639</v>
      </c>
      <c r="C356">
        <v>4277775</v>
      </c>
      <c r="D356" t="s">
        <v>114</v>
      </c>
      <c r="E356">
        <v>49</v>
      </c>
      <c r="F356" t="s">
        <v>76</v>
      </c>
      <c r="G356" s="10">
        <v>45464</v>
      </c>
      <c r="H356" t="s">
        <v>42</v>
      </c>
      <c r="I356" t="s">
        <v>82</v>
      </c>
      <c r="J356" t="s">
        <v>48</v>
      </c>
      <c r="K356" t="s">
        <v>128</v>
      </c>
      <c r="L356" t="s">
        <v>58</v>
      </c>
      <c r="M356" t="s">
        <v>315</v>
      </c>
      <c r="N356">
        <v>7</v>
      </c>
      <c r="O356" t="s">
        <v>117</v>
      </c>
      <c r="P356" s="11">
        <v>5900</v>
      </c>
      <c r="Q356" t="s">
        <v>65</v>
      </c>
      <c r="R356" s="11">
        <f t="shared" si="10"/>
        <v>5900</v>
      </c>
      <c r="S356" t="str">
        <f t="shared" si="11"/>
        <v>One-Time</v>
      </c>
    </row>
    <row r="357" spans="1:19" ht="15" customHeight="1" x14ac:dyDescent="0.3">
      <c r="A357">
        <v>356</v>
      </c>
      <c r="B357" t="s">
        <v>640</v>
      </c>
      <c r="C357">
        <v>8238226</v>
      </c>
      <c r="D357" t="s">
        <v>114</v>
      </c>
      <c r="E357">
        <v>62</v>
      </c>
      <c r="F357" t="s">
        <v>77</v>
      </c>
      <c r="G357" s="10">
        <v>45465</v>
      </c>
      <c r="H357" t="s">
        <v>42</v>
      </c>
      <c r="I357" t="s">
        <v>82</v>
      </c>
      <c r="J357" t="s">
        <v>48</v>
      </c>
      <c r="K357" t="s">
        <v>115</v>
      </c>
      <c r="L357" t="s">
        <v>58</v>
      </c>
      <c r="M357" t="s">
        <v>315</v>
      </c>
      <c r="N357">
        <v>2</v>
      </c>
      <c r="O357" t="s">
        <v>117</v>
      </c>
      <c r="P357" s="11">
        <v>5900</v>
      </c>
      <c r="Q357" t="s">
        <v>68</v>
      </c>
      <c r="R357" s="11">
        <f t="shared" si="10"/>
        <v>5900</v>
      </c>
      <c r="S357" t="str">
        <f t="shared" si="11"/>
        <v>One-Time</v>
      </c>
    </row>
    <row r="358" spans="1:19" ht="15" customHeight="1" x14ac:dyDescent="0.3">
      <c r="A358">
        <v>357</v>
      </c>
      <c r="B358" t="s">
        <v>641</v>
      </c>
      <c r="C358">
        <v>3874867</v>
      </c>
      <c r="D358" t="s">
        <v>114</v>
      </c>
      <c r="E358">
        <v>39</v>
      </c>
      <c r="F358" t="s">
        <v>76</v>
      </c>
      <c r="G358" s="10">
        <v>45466</v>
      </c>
      <c r="H358" t="s">
        <v>42</v>
      </c>
      <c r="I358" t="s">
        <v>82</v>
      </c>
      <c r="J358" t="s">
        <v>48</v>
      </c>
      <c r="K358" t="s">
        <v>115</v>
      </c>
      <c r="L358" t="s">
        <v>58</v>
      </c>
      <c r="M358" t="s">
        <v>315</v>
      </c>
      <c r="N358">
        <v>8</v>
      </c>
      <c r="O358" t="s">
        <v>117</v>
      </c>
      <c r="P358" s="11">
        <v>5900</v>
      </c>
      <c r="Q358" t="s">
        <v>405</v>
      </c>
      <c r="R358" s="11">
        <f t="shared" si="10"/>
        <v>5900</v>
      </c>
      <c r="S358" t="str">
        <f t="shared" si="11"/>
        <v>One-Time</v>
      </c>
    </row>
    <row r="359" spans="1:19" ht="15" customHeight="1" x14ac:dyDescent="0.3">
      <c r="A359">
        <v>358</v>
      </c>
      <c r="B359" t="s">
        <v>642</v>
      </c>
      <c r="C359">
        <v>9065362</v>
      </c>
      <c r="D359" t="s">
        <v>114</v>
      </c>
      <c r="E359">
        <v>42</v>
      </c>
      <c r="F359" t="s">
        <v>76</v>
      </c>
      <c r="G359" s="10">
        <v>45467</v>
      </c>
      <c r="H359" t="s">
        <v>42</v>
      </c>
      <c r="I359" t="s">
        <v>85</v>
      </c>
      <c r="J359" t="s">
        <v>48</v>
      </c>
      <c r="K359" t="s">
        <v>115</v>
      </c>
      <c r="L359" t="s">
        <v>58</v>
      </c>
      <c r="M359" t="s">
        <v>315</v>
      </c>
      <c r="N359">
        <v>4</v>
      </c>
      <c r="O359" t="s">
        <v>117</v>
      </c>
      <c r="P359" s="11">
        <v>5900</v>
      </c>
      <c r="Q359" t="s">
        <v>643</v>
      </c>
      <c r="R359" s="11">
        <f t="shared" si="10"/>
        <v>0</v>
      </c>
      <c r="S359" t="str">
        <f t="shared" si="11"/>
        <v>One-Time</v>
      </c>
    </row>
    <row r="360" spans="1:19" ht="15" customHeight="1" x14ac:dyDescent="0.3">
      <c r="A360">
        <v>359</v>
      </c>
      <c r="B360" t="s">
        <v>644</v>
      </c>
      <c r="C360">
        <v>4405714</v>
      </c>
      <c r="D360" t="s">
        <v>114</v>
      </c>
      <c r="E360">
        <v>38</v>
      </c>
      <c r="F360" t="s">
        <v>76</v>
      </c>
      <c r="G360" s="10">
        <v>45468</v>
      </c>
      <c r="H360" t="s">
        <v>42</v>
      </c>
      <c r="I360" t="s">
        <v>82</v>
      </c>
      <c r="J360" t="s">
        <v>48</v>
      </c>
      <c r="K360" t="s">
        <v>115</v>
      </c>
      <c r="L360" t="s">
        <v>58</v>
      </c>
      <c r="M360" t="s">
        <v>315</v>
      </c>
      <c r="N360">
        <v>5</v>
      </c>
      <c r="O360" t="s">
        <v>117</v>
      </c>
      <c r="P360" s="11">
        <v>5900</v>
      </c>
      <c r="Q360" t="s">
        <v>645</v>
      </c>
      <c r="R360" s="11">
        <f t="shared" si="10"/>
        <v>5900</v>
      </c>
      <c r="S360" t="str">
        <f t="shared" si="11"/>
        <v>One-Time</v>
      </c>
    </row>
    <row r="361" spans="1:19" ht="15" customHeight="1" x14ac:dyDescent="0.3">
      <c r="A361">
        <v>360</v>
      </c>
      <c r="B361" t="s">
        <v>646</v>
      </c>
      <c r="C361">
        <v>1957132</v>
      </c>
      <c r="D361" t="s">
        <v>114</v>
      </c>
      <c r="E361">
        <v>32</v>
      </c>
      <c r="F361" t="s">
        <v>76</v>
      </c>
      <c r="G361" s="10">
        <v>45469</v>
      </c>
      <c r="H361" t="s">
        <v>42</v>
      </c>
      <c r="I361" t="s">
        <v>82</v>
      </c>
      <c r="J361" t="s">
        <v>48</v>
      </c>
      <c r="K361" t="s">
        <v>115</v>
      </c>
      <c r="L361" t="s">
        <v>58</v>
      </c>
      <c r="M361" t="s">
        <v>315</v>
      </c>
      <c r="N361">
        <v>6</v>
      </c>
      <c r="O361" t="s">
        <v>117</v>
      </c>
      <c r="P361" s="11">
        <v>5900</v>
      </c>
      <c r="Q361" t="s">
        <v>470</v>
      </c>
      <c r="R361" s="11">
        <f t="shared" si="10"/>
        <v>5900</v>
      </c>
      <c r="S361" t="str">
        <f t="shared" si="11"/>
        <v>One-Time</v>
      </c>
    </row>
    <row r="362" spans="1:19" ht="15" customHeight="1" x14ac:dyDescent="0.3">
      <c r="A362">
        <v>361</v>
      </c>
      <c r="B362" t="s">
        <v>647</v>
      </c>
      <c r="C362">
        <v>8630007</v>
      </c>
      <c r="D362" t="s">
        <v>114</v>
      </c>
      <c r="E362">
        <v>37</v>
      </c>
      <c r="F362" t="s">
        <v>76</v>
      </c>
      <c r="G362" s="10">
        <v>45470</v>
      </c>
      <c r="H362" t="s">
        <v>42</v>
      </c>
      <c r="I362" t="s">
        <v>82</v>
      </c>
      <c r="J362" t="s">
        <v>48</v>
      </c>
      <c r="K362" t="s">
        <v>187</v>
      </c>
      <c r="L362" t="s">
        <v>58</v>
      </c>
      <c r="M362" t="s">
        <v>315</v>
      </c>
      <c r="N362">
        <v>31</v>
      </c>
      <c r="O362" t="s">
        <v>117</v>
      </c>
      <c r="P362" s="11">
        <v>6600</v>
      </c>
      <c r="Q362" t="s">
        <v>67</v>
      </c>
      <c r="R362" s="11">
        <f t="shared" si="10"/>
        <v>6600</v>
      </c>
      <c r="S362" t="str">
        <f t="shared" si="11"/>
        <v>One-Time</v>
      </c>
    </row>
    <row r="363" spans="1:19" ht="15" customHeight="1" x14ac:dyDescent="0.3">
      <c r="A363">
        <v>362</v>
      </c>
      <c r="B363" t="s">
        <v>648</v>
      </c>
      <c r="C363">
        <v>2849866</v>
      </c>
      <c r="D363" t="s">
        <v>114</v>
      </c>
      <c r="E363">
        <v>20</v>
      </c>
      <c r="F363" t="s">
        <v>75</v>
      </c>
      <c r="G363" s="10">
        <v>45471</v>
      </c>
      <c r="H363" t="s">
        <v>42</v>
      </c>
      <c r="I363" t="s">
        <v>82</v>
      </c>
      <c r="J363" t="s">
        <v>48</v>
      </c>
      <c r="K363" t="s">
        <v>187</v>
      </c>
      <c r="L363" t="s">
        <v>58</v>
      </c>
      <c r="M363" t="s">
        <v>315</v>
      </c>
      <c r="N363">
        <v>2</v>
      </c>
      <c r="O363" t="s">
        <v>117</v>
      </c>
      <c r="P363" s="11">
        <v>6600</v>
      </c>
      <c r="Q363" t="s">
        <v>63</v>
      </c>
      <c r="R363" s="11">
        <f t="shared" si="10"/>
        <v>6600</v>
      </c>
      <c r="S363" t="str">
        <f t="shared" si="11"/>
        <v>One-Time</v>
      </c>
    </row>
    <row r="364" spans="1:19" ht="15" customHeight="1" x14ac:dyDescent="0.3">
      <c r="A364">
        <v>363</v>
      </c>
      <c r="B364" t="s">
        <v>649</v>
      </c>
      <c r="C364">
        <v>8910046</v>
      </c>
      <c r="D364" t="s">
        <v>114</v>
      </c>
      <c r="E364">
        <v>33</v>
      </c>
      <c r="F364" t="s">
        <v>76</v>
      </c>
      <c r="G364" s="10">
        <v>45472</v>
      </c>
      <c r="H364" t="s">
        <v>42</v>
      </c>
      <c r="I364" t="s">
        <v>82</v>
      </c>
      <c r="J364" t="s">
        <v>48</v>
      </c>
      <c r="K364" t="s">
        <v>187</v>
      </c>
      <c r="L364" t="s">
        <v>58</v>
      </c>
      <c r="M364" t="s">
        <v>315</v>
      </c>
      <c r="N364">
        <v>5</v>
      </c>
      <c r="O364" t="s">
        <v>117</v>
      </c>
      <c r="P364" s="11">
        <v>6600</v>
      </c>
      <c r="Q364" t="s">
        <v>650</v>
      </c>
      <c r="R364" s="11">
        <f t="shared" si="10"/>
        <v>6600</v>
      </c>
      <c r="S364" t="str">
        <f t="shared" si="11"/>
        <v>One-Time</v>
      </c>
    </row>
    <row r="365" spans="1:19" ht="15" customHeight="1" x14ac:dyDescent="0.3">
      <c r="A365">
        <v>364</v>
      </c>
      <c r="B365" t="s">
        <v>651</v>
      </c>
      <c r="C365">
        <v>3946363</v>
      </c>
      <c r="D365" t="s">
        <v>114</v>
      </c>
      <c r="E365">
        <v>38</v>
      </c>
      <c r="F365" t="s">
        <v>76</v>
      </c>
      <c r="G365" s="10">
        <v>45473</v>
      </c>
      <c r="H365" t="s">
        <v>42</v>
      </c>
      <c r="I365" t="s">
        <v>82</v>
      </c>
      <c r="J365" t="s">
        <v>48</v>
      </c>
      <c r="K365" t="s">
        <v>187</v>
      </c>
      <c r="L365" t="s">
        <v>58</v>
      </c>
      <c r="M365" t="s">
        <v>315</v>
      </c>
      <c r="N365">
        <v>5</v>
      </c>
      <c r="O365" t="s">
        <v>117</v>
      </c>
      <c r="P365" s="11">
        <v>6600</v>
      </c>
      <c r="Q365" t="s">
        <v>652</v>
      </c>
      <c r="R365" s="11">
        <f t="shared" si="10"/>
        <v>6600</v>
      </c>
      <c r="S365" t="str">
        <f t="shared" si="11"/>
        <v>One-Time</v>
      </c>
    </row>
    <row r="366" spans="1:19" ht="15" customHeight="1" x14ac:dyDescent="0.3">
      <c r="A366">
        <v>365</v>
      </c>
      <c r="B366" t="s">
        <v>653</v>
      </c>
      <c r="C366">
        <v>8490644</v>
      </c>
      <c r="D366" t="s">
        <v>114</v>
      </c>
      <c r="E366">
        <v>24</v>
      </c>
      <c r="F366" t="s">
        <v>75</v>
      </c>
      <c r="G366" s="10">
        <v>45474</v>
      </c>
      <c r="H366" t="s">
        <v>43</v>
      </c>
      <c r="I366" t="s">
        <v>83</v>
      </c>
      <c r="J366" t="s">
        <v>48</v>
      </c>
      <c r="K366" t="s">
        <v>187</v>
      </c>
      <c r="L366" t="s">
        <v>58</v>
      </c>
      <c r="M366" t="s">
        <v>315</v>
      </c>
      <c r="N366">
        <v>8</v>
      </c>
      <c r="O366" t="s">
        <v>117</v>
      </c>
      <c r="P366" s="11">
        <v>6600</v>
      </c>
      <c r="Q366" t="s">
        <v>409</v>
      </c>
      <c r="R366" s="11">
        <f t="shared" si="10"/>
        <v>0</v>
      </c>
      <c r="S366" t="str">
        <f t="shared" si="11"/>
        <v>One-Time</v>
      </c>
    </row>
    <row r="367" spans="1:19" ht="15" customHeight="1" x14ac:dyDescent="0.3">
      <c r="A367">
        <v>366</v>
      </c>
      <c r="B367" t="s">
        <v>654</v>
      </c>
      <c r="C367">
        <v>17510</v>
      </c>
      <c r="D367" t="s">
        <v>114</v>
      </c>
      <c r="E367">
        <v>21</v>
      </c>
      <c r="F367" t="s">
        <v>75</v>
      </c>
      <c r="G367" s="10">
        <v>45475</v>
      </c>
      <c r="H367" t="s">
        <v>43</v>
      </c>
      <c r="I367" t="s">
        <v>82</v>
      </c>
      <c r="J367" t="s">
        <v>48</v>
      </c>
      <c r="K367" t="s">
        <v>187</v>
      </c>
      <c r="L367" t="s">
        <v>58</v>
      </c>
      <c r="M367" t="s">
        <v>315</v>
      </c>
      <c r="N367">
        <v>9</v>
      </c>
      <c r="O367" t="s">
        <v>117</v>
      </c>
      <c r="P367" s="11">
        <v>6600</v>
      </c>
      <c r="Q367" t="s">
        <v>655</v>
      </c>
      <c r="R367" s="11">
        <f t="shared" si="10"/>
        <v>6600</v>
      </c>
      <c r="S367" t="str">
        <f t="shared" si="11"/>
        <v>One-Time</v>
      </c>
    </row>
    <row r="368" spans="1:19" ht="15" customHeight="1" x14ac:dyDescent="0.3">
      <c r="A368">
        <v>367</v>
      </c>
      <c r="B368" t="s">
        <v>656</v>
      </c>
      <c r="C368">
        <v>1607946</v>
      </c>
      <c r="D368" t="s">
        <v>114</v>
      </c>
      <c r="E368">
        <v>31</v>
      </c>
      <c r="F368" t="s">
        <v>76</v>
      </c>
      <c r="G368" s="10">
        <v>45476</v>
      </c>
      <c r="H368" t="s">
        <v>43</v>
      </c>
      <c r="I368" t="s">
        <v>82</v>
      </c>
      <c r="J368" t="s">
        <v>48</v>
      </c>
      <c r="K368" t="s">
        <v>187</v>
      </c>
      <c r="L368" t="s">
        <v>58</v>
      </c>
      <c r="M368" t="s">
        <v>315</v>
      </c>
      <c r="N368">
        <v>8</v>
      </c>
      <c r="O368" t="s">
        <v>117</v>
      </c>
      <c r="P368" s="11">
        <v>6600</v>
      </c>
      <c r="Q368" t="s">
        <v>64</v>
      </c>
      <c r="R368" s="11">
        <f t="shared" si="10"/>
        <v>6600</v>
      </c>
      <c r="S368" t="str">
        <f t="shared" si="11"/>
        <v>One-Time</v>
      </c>
    </row>
    <row r="369" spans="1:19" ht="15" customHeight="1" x14ac:dyDescent="0.3">
      <c r="A369">
        <v>368</v>
      </c>
      <c r="B369" t="s">
        <v>657</v>
      </c>
      <c r="C369">
        <v>4402120</v>
      </c>
      <c r="D369" t="s">
        <v>114</v>
      </c>
      <c r="E369">
        <v>78</v>
      </c>
      <c r="F369" t="s">
        <v>77</v>
      </c>
      <c r="G369" s="10">
        <v>45477</v>
      </c>
      <c r="H369" t="s">
        <v>43</v>
      </c>
      <c r="I369" t="s">
        <v>82</v>
      </c>
      <c r="J369" t="s">
        <v>48</v>
      </c>
      <c r="K369" t="s">
        <v>187</v>
      </c>
      <c r="L369" t="s">
        <v>58</v>
      </c>
      <c r="M369" t="s">
        <v>315</v>
      </c>
      <c r="N369">
        <v>3</v>
      </c>
      <c r="O369" t="s">
        <v>117</v>
      </c>
      <c r="P369" s="11">
        <v>6600</v>
      </c>
      <c r="Q369" t="s">
        <v>658</v>
      </c>
      <c r="R369" s="11">
        <f t="shared" si="10"/>
        <v>6600</v>
      </c>
      <c r="S369" t="str">
        <f t="shared" si="11"/>
        <v>One-Time</v>
      </c>
    </row>
    <row r="370" spans="1:19" ht="15" customHeight="1" x14ac:dyDescent="0.3">
      <c r="A370">
        <v>369</v>
      </c>
      <c r="B370" t="s">
        <v>659</v>
      </c>
      <c r="C370">
        <v>6741005</v>
      </c>
      <c r="D370" t="s">
        <v>114</v>
      </c>
      <c r="E370">
        <v>30</v>
      </c>
      <c r="F370" t="s">
        <v>76</v>
      </c>
      <c r="G370" s="10">
        <v>45478</v>
      </c>
      <c r="H370" t="s">
        <v>43</v>
      </c>
      <c r="I370" t="s">
        <v>82</v>
      </c>
      <c r="J370" t="s">
        <v>48</v>
      </c>
      <c r="K370" t="s">
        <v>187</v>
      </c>
      <c r="L370" t="s">
        <v>58</v>
      </c>
      <c r="M370" t="s">
        <v>315</v>
      </c>
      <c r="N370">
        <v>4</v>
      </c>
      <c r="O370" t="s">
        <v>117</v>
      </c>
      <c r="P370" s="11">
        <v>6600</v>
      </c>
      <c r="Q370" t="s">
        <v>63</v>
      </c>
      <c r="R370" s="11">
        <f t="shared" si="10"/>
        <v>6600</v>
      </c>
      <c r="S370" t="str">
        <f t="shared" si="11"/>
        <v>One-Time</v>
      </c>
    </row>
    <row r="371" spans="1:19" ht="15" customHeight="1" x14ac:dyDescent="0.3">
      <c r="A371">
        <v>370</v>
      </c>
      <c r="B371" t="s">
        <v>660</v>
      </c>
      <c r="C371">
        <v>7396160</v>
      </c>
      <c r="D371" t="s">
        <v>114</v>
      </c>
      <c r="E371">
        <v>46</v>
      </c>
      <c r="F371" t="s">
        <v>76</v>
      </c>
      <c r="G371" s="10">
        <v>45479</v>
      </c>
      <c r="H371" t="s">
        <v>43</v>
      </c>
      <c r="I371" t="s">
        <v>82</v>
      </c>
      <c r="J371" t="s">
        <v>48</v>
      </c>
      <c r="K371" t="s">
        <v>187</v>
      </c>
      <c r="L371" t="s">
        <v>58</v>
      </c>
      <c r="M371" t="s">
        <v>315</v>
      </c>
      <c r="N371">
        <v>4</v>
      </c>
      <c r="O371" t="s">
        <v>117</v>
      </c>
      <c r="P371" s="11">
        <v>6600</v>
      </c>
      <c r="Q371" t="s">
        <v>62</v>
      </c>
      <c r="R371" s="11">
        <f t="shared" si="10"/>
        <v>6600</v>
      </c>
      <c r="S371" t="str">
        <f t="shared" si="11"/>
        <v>One-Time</v>
      </c>
    </row>
    <row r="372" spans="1:19" ht="15" customHeight="1" x14ac:dyDescent="0.3">
      <c r="A372">
        <v>371</v>
      </c>
      <c r="B372" t="s">
        <v>661</v>
      </c>
      <c r="C372">
        <v>9872468</v>
      </c>
      <c r="D372" t="s">
        <v>114</v>
      </c>
      <c r="E372">
        <v>20</v>
      </c>
      <c r="F372" t="s">
        <v>75</v>
      </c>
      <c r="G372" s="10">
        <v>45480</v>
      </c>
      <c r="H372" t="s">
        <v>43</v>
      </c>
      <c r="I372" t="s">
        <v>82</v>
      </c>
      <c r="J372" t="s">
        <v>48</v>
      </c>
      <c r="K372" t="s">
        <v>187</v>
      </c>
      <c r="L372" t="s">
        <v>58</v>
      </c>
      <c r="M372" t="s">
        <v>315</v>
      </c>
      <c r="N372">
        <v>9</v>
      </c>
      <c r="O372" t="s">
        <v>117</v>
      </c>
      <c r="P372" s="11">
        <v>6600</v>
      </c>
      <c r="Q372" t="s">
        <v>662</v>
      </c>
      <c r="R372" s="11">
        <f t="shared" si="10"/>
        <v>6600</v>
      </c>
      <c r="S372" t="str">
        <f t="shared" si="11"/>
        <v>One-Time</v>
      </c>
    </row>
    <row r="373" spans="1:19" ht="15" customHeight="1" x14ac:dyDescent="0.3">
      <c r="A373">
        <v>372</v>
      </c>
      <c r="B373" t="s">
        <v>663</v>
      </c>
      <c r="C373">
        <v>6685775</v>
      </c>
      <c r="D373" t="s">
        <v>114</v>
      </c>
      <c r="E373">
        <v>22</v>
      </c>
      <c r="F373" t="s">
        <v>75</v>
      </c>
      <c r="G373" s="10">
        <v>45481</v>
      </c>
      <c r="H373" t="s">
        <v>43</v>
      </c>
      <c r="I373" t="s">
        <v>82</v>
      </c>
      <c r="J373" t="s">
        <v>48</v>
      </c>
      <c r="K373" t="s">
        <v>187</v>
      </c>
      <c r="L373" t="s">
        <v>58</v>
      </c>
      <c r="M373" t="s">
        <v>315</v>
      </c>
      <c r="N373">
        <v>8</v>
      </c>
      <c r="O373" t="s">
        <v>117</v>
      </c>
      <c r="P373" s="11">
        <v>6600</v>
      </c>
      <c r="Q373" t="s">
        <v>62</v>
      </c>
      <c r="R373" s="11">
        <f t="shared" si="10"/>
        <v>6600</v>
      </c>
      <c r="S373" t="str">
        <f t="shared" si="11"/>
        <v>One-Time</v>
      </c>
    </row>
    <row r="374" spans="1:19" ht="15" customHeight="1" x14ac:dyDescent="0.3">
      <c r="A374">
        <v>373</v>
      </c>
      <c r="B374" t="s">
        <v>664</v>
      </c>
      <c r="C374">
        <v>2742059</v>
      </c>
      <c r="D374" t="s">
        <v>114</v>
      </c>
      <c r="E374">
        <v>18</v>
      </c>
      <c r="F374" t="s">
        <v>75</v>
      </c>
      <c r="G374" s="10">
        <v>45482</v>
      </c>
      <c r="H374" t="s">
        <v>43</v>
      </c>
      <c r="I374" t="s">
        <v>82</v>
      </c>
      <c r="J374" t="s">
        <v>48</v>
      </c>
      <c r="K374" t="s">
        <v>187</v>
      </c>
      <c r="L374" t="s">
        <v>58</v>
      </c>
      <c r="M374" t="s">
        <v>315</v>
      </c>
      <c r="N374">
        <v>3</v>
      </c>
      <c r="O374" t="s">
        <v>117</v>
      </c>
      <c r="P374" s="11">
        <v>6600</v>
      </c>
      <c r="Q374" t="s">
        <v>69</v>
      </c>
      <c r="R374" s="11">
        <f t="shared" si="10"/>
        <v>6600</v>
      </c>
      <c r="S374" t="str">
        <f t="shared" si="11"/>
        <v>One-Time</v>
      </c>
    </row>
    <row r="375" spans="1:19" ht="15" customHeight="1" x14ac:dyDescent="0.3">
      <c r="A375">
        <v>374</v>
      </c>
      <c r="B375" t="s">
        <v>665</v>
      </c>
      <c r="C375">
        <v>431359</v>
      </c>
      <c r="D375" t="s">
        <v>114</v>
      </c>
      <c r="E375">
        <v>24</v>
      </c>
      <c r="F375" t="s">
        <v>75</v>
      </c>
      <c r="G375" s="10">
        <v>45483</v>
      </c>
      <c r="H375" t="s">
        <v>43</v>
      </c>
      <c r="I375" t="s">
        <v>84</v>
      </c>
      <c r="J375" t="s">
        <v>48</v>
      </c>
      <c r="K375" t="s">
        <v>187</v>
      </c>
      <c r="L375" t="s">
        <v>58</v>
      </c>
      <c r="M375" t="s">
        <v>122</v>
      </c>
      <c r="N375">
        <v>6</v>
      </c>
      <c r="O375" t="s">
        <v>117</v>
      </c>
      <c r="P375" s="11">
        <v>6600</v>
      </c>
      <c r="Q375" t="s">
        <v>666</v>
      </c>
      <c r="R375" s="11">
        <f t="shared" si="10"/>
        <v>0</v>
      </c>
      <c r="S375" t="str">
        <f t="shared" si="11"/>
        <v>One-Time</v>
      </c>
    </row>
    <row r="376" spans="1:19" ht="15" customHeight="1" x14ac:dyDescent="0.3">
      <c r="A376">
        <v>375</v>
      </c>
      <c r="B376" t="s">
        <v>667</v>
      </c>
      <c r="C376">
        <v>2254374</v>
      </c>
      <c r="D376" t="s">
        <v>114</v>
      </c>
      <c r="E376">
        <v>39</v>
      </c>
      <c r="F376" t="s">
        <v>76</v>
      </c>
      <c r="G376" s="10">
        <v>45484</v>
      </c>
      <c r="H376" t="s">
        <v>43</v>
      </c>
      <c r="I376" t="s">
        <v>82</v>
      </c>
      <c r="J376" t="s">
        <v>48</v>
      </c>
      <c r="K376" t="s">
        <v>187</v>
      </c>
      <c r="L376" t="s">
        <v>58</v>
      </c>
      <c r="M376" t="s">
        <v>122</v>
      </c>
      <c r="N376">
        <v>9</v>
      </c>
      <c r="O376" t="s">
        <v>117</v>
      </c>
      <c r="P376" s="11">
        <v>6600</v>
      </c>
      <c r="Q376" t="s">
        <v>62</v>
      </c>
      <c r="R376" s="11">
        <f t="shared" si="10"/>
        <v>6600</v>
      </c>
      <c r="S376" t="str">
        <f t="shared" si="11"/>
        <v>One-Time</v>
      </c>
    </row>
    <row r="377" spans="1:19" ht="15" customHeight="1" x14ac:dyDescent="0.3">
      <c r="A377">
        <v>376</v>
      </c>
      <c r="B377" t="s">
        <v>668</v>
      </c>
      <c r="C377">
        <v>2506744</v>
      </c>
      <c r="D377" t="s">
        <v>114</v>
      </c>
      <c r="E377">
        <v>22</v>
      </c>
      <c r="F377" t="s">
        <v>75</v>
      </c>
      <c r="G377" s="10">
        <v>45485</v>
      </c>
      <c r="H377" t="s">
        <v>43</v>
      </c>
      <c r="I377" t="s">
        <v>82</v>
      </c>
      <c r="J377" t="s">
        <v>48</v>
      </c>
      <c r="K377" t="s">
        <v>193</v>
      </c>
      <c r="L377" t="s">
        <v>58</v>
      </c>
      <c r="M377" t="s">
        <v>122</v>
      </c>
      <c r="N377">
        <v>2</v>
      </c>
      <c r="O377" t="s">
        <v>117</v>
      </c>
      <c r="P377" s="11">
        <v>6600</v>
      </c>
      <c r="Q377" t="s">
        <v>524</v>
      </c>
      <c r="R377" s="11">
        <f t="shared" si="10"/>
        <v>6600</v>
      </c>
      <c r="S377" t="str">
        <f t="shared" si="11"/>
        <v>One-Time</v>
      </c>
    </row>
    <row r="378" spans="1:19" ht="15" customHeight="1" x14ac:dyDescent="0.3">
      <c r="A378">
        <v>377</v>
      </c>
      <c r="B378" t="s">
        <v>669</v>
      </c>
      <c r="C378">
        <v>225967</v>
      </c>
      <c r="D378" t="s">
        <v>114</v>
      </c>
      <c r="E378">
        <v>46</v>
      </c>
      <c r="F378" t="s">
        <v>76</v>
      </c>
      <c r="G378" s="10">
        <v>45486</v>
      </c>
      <c r="H378" t="s">
        <v>43</v>
      </c>
      <c r="I378" t="s">
        <v>82</v>
      </c>
      <c r="J378" t="s">
        <v>48</v>
      </c>
      <c r="K378" t="s">
        <v>193</v>
      </c>
      <c r="L378" t="s">
        <v>56</v>
      </c>
      <c r="M378" t="s">
        <v>122</v>
      </c>
      <c r="N378">
        <v>5</v>
      </c>
      <c r="O378" t="s">
        <v>117</v>
      </c>
      <c r="P378" s="11">
        <v>6600</v>
      </c>
      <c r="Q378" t="s">
        <v>670</v>
      </c>
      <c r="R378" s="11">
        <f t="shared" si="10"/>
        <v>6600</v>
      </c>
      <c r="S378" t="str">
        <f t="shared" si="11"/>
        <v>One-Time</v>
      </c>
    </row>
    <row r="379" spans="1:19" ht="15" customHeight="1" x14ac:dyDescent="0.3">
      <c r="A379">
        <v>378</v>
      </c>
      <c r="B379" t="s">
        <v>671</v>
      </c>
      <c r="C379">
        <v>9746730</v>
      </c>
      <c r="D379" t="s">
        <v>114</v>
      </c>
      <c r="E379">
        <v>45</v>
      </c>
      <c r="F379" t="s">
        <v>76</v>
      </c>
      <c r="G379" s="10">
        <v>45487</v>
      </c>
      <c r="H379" t="s">
        <v>43</v>
      </c>
      <c r="I379" t="s">
        <v>82</v>
      </c>
      <c r="J379" t="s">
        <v>48</v>
      </c>
      <c r="K379" t="s">
        <v>193</v>
      </c>
      <c r="L379" t="s">
        <v>56</v>
      </c>
      <c r="M379" t="s">
        <v>122</v>
      </c>
      <c r="N379">
        <v>6</v>
      </c>
      <c r="O379" t="s">
        <v>117</v>
      </c>
      <c r="P379" s="11">
        <v>6600</v>
      </c>
      <c r="Q379" t="s">
        <v>64</v>
      </c>
      <c r="R379" s="11">
        <f t="shared" si="10"/>
        <v>6600</v>
      </c>
      <c r="S379" t="str">
        <f t="shared" si="11"/>
        <v>One-Time</v>
      </c>
    </row>
    <row r="380" spans="1:19" ht="15" customHeight="1" x14ac:dyDescent="0.3">
      <c r="A380">
        <v>379</v>
      </c>
      <c r="B380" t="s">
        <v>672</v>
      </c>
      <c r="C380">
        <v>2994704</v>
      </c>
      <c r="D380" t="s">
        <v>114</v>
      </c>
      <c r="E380">
        <v>22</v>
      </c>
      <c r="F380" t="s">
        <v>75</v>
      </c>
      <c r="G380" s="10">
        <v>45488</v>
      </c>
      <c r="H380" t="s">
        <v>43</v>
      </c>
      <c r="I380" t="s">
        <v>82</v>
      </c>
      <c r="J380" t="s">
        <v>48</v>
      </c>
      <c r="K380" t="s">
        <v>193</v>
      </c>
      <c r="L380" t="s">
        <v>56</v>
      </c>
      <c r="M380" t="s">
        <v>122</v>
      </c>
      <c r="N380">
        <v>9</v>
      </c>
      <c r="O380" t="s">
        <v>117</v>
      </c>
      <c r="P380" s="11">
        <v>6600</v>
      </c>
      <c r="Q380" t="s">
        <v>427</v>
      </c>
      <c r="R380" s="11">
        <f t="shared" si="10"/>
        <v>6600</v>
      </c>
      <c r="S380" t="str">
        <f t="shared" si="11"/>
        <v>One-Time</v>
      </c>
    </row>
    <row r="381" spans="1:19" ht="15" customHeight="1" x14ac:dyDescent="0.3">
      <c r="A381">
        <v>380</v>
      </c>
      <c r="B381" t="s">
        <v>673</v>
      </c>
      <c r="C381">
        <v>4768183</v>
      </c>
      <c r="D381" t="s">
        <v>114</v>
      </c>
      <c r="E381">
        <v>49</v>
      </c>
      <c r="F381" t="s">
        <v>76</v>
      </c>
      <c r="G381" s="10">
        <v>45489</v>
      </c>
      <c r="H381" t="s">
        <v>43</v>
      </c>
      <c r="I381" t="s">
        <v>82</v>
      </c>
      <c r="J381" t="s">
        <v>48</v>
      </c>
      <c r="K381" t="s">
        <v>193</v>
      </c>
      <c r="L381" t="s">
        <v>56</v>
      </c>
      <c r="M381" t="s">
        <v>122</v>
      </c>
      <c r="N381">
        <v>7</v>
      </c>
      <c r="O381" t="s">
        <v>117</v>
      </c>
      <c r="P381" s="11">
        <v>6600</v>
      </c>
      <c r="Q381" t="s">
        <v>674</v>
      </c>
      <c r="R381" s="11">
        <f t="shared" si="10"/>
        <v>6600</v>
      </c>
      <c r="S381" t="str">
        <f t="shared" si="11"/>
        <v>One-Time</v>
      </c>
    </row>
    <row r="382" spans="1:19" ht="15" customHeight="1" x14ac:dyDescent="0.3">
      <c r="A382">
        <v>381</v>
      </c>
      <c r="B382" t="s">
        <v>675</v>
      </c>
      <c r="C382">
        <v>5358164</v>
      </c>
      <c r="D382" t="s">
        <v>114</v>
      </c>
      <c r="E382">
        <v>23</v>
      </c>
      <c r="F382" t="s">
        <v>75</v>
      </c>
      <c r="G382" s="10">
        <v>45490</v>
      </c>
      <c r="H382" t="s">
        <v>43</v>
      </c>
      <c r="I382" t="s">
        <v>82</v>
      </c>
      <c r="J382" t="s">
        <v>48</v>
      </c>
      <c r="K382" t="s">
        <v>193</v>
      </c>
      <c r="L382" t="s">
        <v>56</v>
      </c>
      <c r="M382" t="s">
        <v>122</v>
      </c>
      <c r="N382">
        <v>81</v>
      </c>
      <c r="O382" t="s">
        <v>117</v>
      </c>
      <c r="P382" s="11">
        <v>6600</v>
      </c>
      <c r="Q382" t="s">
        <v>65</v>
      </c>
      <c r="R382" s="11">
        <f t="shared" si="10"/>
        <v>6600</v>
      </c>
      <c r="S382" t="str">
        <f t="shared" si="11"/>
        <v>One-Time</v>
      </c>
    </row>
    <row r="383" spans="1:19" ht="15" customHeight="1" x14ac:dyDescent="0.3">
      <c r="A383">
        <v>382</v>
      </c>
      <c r="B383" t="s">
        <v>676</v>
      </c>
      <c r="C383">
        <v>8201125</v>
      </c>
      <c r="D383" t="s">
        <v>114</v>
      </c>
      <c r="E383">
        <v>31</v>
      </c>
      <c r="F383" t="s">
        <v>76</v>
      </c>
      <c r="G383" s="10">
        <v>45491</v>
      </c>
      <c r="H383" t="s">
        <v>43</v>
      </c>
      <c r="I383" t="s">
        <v>82</v>
      </c>
      <c r="J383" t="s">
        <v>48</v>
      </c>
      <c r="K383" t="s">
        <v>193</v>
      </c>
      <c r="L383" t="s">
        <v>56</v>
      </c>
      <c r="M383" t="s">
        <v>122</v>
      </c>
      <c r="N383">
        <v>24</v>
      </c>
      <c r="O383" t="s">
        <v>117</v>
      </c>
      <c r="P383" s="11">
        <v>6600</v>
      </c>
      <c r="Q383" t="s">
        <v>677</v>
      </c>
      <c r="R383" s="11">
        <f t="shared" si="10"/>
        <v>6600</v>
      </c>
      <c r="S383" t="str">
        <f t="shared" si="11"/>
        <v>One-Time</v>
      </c>
    </row>
    <row r="384" spans="1:19" ht="15" customHeight="1" x14ac:dyDescent="0.3">
      <c r="A384">
        <v>383</v>
      </c>
      <c r="B384" t="s">
        <v>678</v>
      </c>
      <c r="C384">
        <v>6455153</v>
      </c>
      <c r="D384" t="s">
        <v>114</v>
      </c>
      <c r="E384">
        <v>28</v>
      </c>
      <c r="F384" t="s">
        <v>75</v>
      </c>
      <c r="G384" s="10">
        <v>45492</v>
      </c>
      <c r="H384" t="s">
        <v>43</v>
      </c>
      <c r="I384" t="s">
        <v>82</v>
      </c>
      <c r="J384" t="s">
        <v>48</v>
      </c>
      <c r="K384" t="s">
        <v>193</v>
      </c>
      <c r="L384" t="s">
        <v>56</v>
      </c>
      <c r="M384" t="s">
        <v>122</v>
      </c>
      <c r="N384">
        <v>56</v>
      </c>
      <c r="O384" t="s">
        <v>117</v>
      </c>
      <c r="P384" s="11">
        <v>6900</v>
      </c>
      <c r="Q384" t="s">
        <v>63</v>
      </c>
      <c r="R384" s="11">
        <f t="shared" si="10"/>
        <v>6900</v>
      </c>
      <c r="S384" t="str">
        <f t="shared" si="11"/>
        <v>Repeat</v>
      </c>
    </row>
    <row r="385" spans="1:19" ht="15" customHeight="1" x14ac:dyDescent="0.3">
      <c r="A385">
        <v>384</v>
      </c>
      <c r="B385" t="s">
        <v>678</v>
      </c>
      <c r="C385">
        <v>6455153</v>
      </c>
      <c r="D385" t="s">
        <v>114</v>
      </c>
      <c r="E385">
        <v>61</v>
      </c>
      <c r="F385" t="s">
        <v>77</v>
      </c>
      <c r="G385" s="10">
        <v>45493</v>
      </c>
      <c r="H385" t="s">
        <v>43</v>
      </c>
      <c r="I385" t="s">
        <v>83</v>
      </c>
      <c r="J385" t="s">
        <v>48</v>
      </c>
      <c r="K385" t="s">
        <v>193</v>
      </c>
      <c r="L385" t="s">
        <v>56</v>
      </c>
      <c r="M385" t="s">
        <v>122</v>
      </c>
      <c r="N385">
        <v>55</v>
      </c>
      <c r="O385" t="s">
        <v>117</v>
      </c>
      <c r="P385" s="11">
        <v>6900</v>
      </c>
      <c r="Q385" t="s">
        <v>68</v>
      </c>
      <c r="R385" s="11">
        <f t="shared" si="10"/>
        <v>0</v>
      </c>
      <c r="S385" t="str">
        <f t="shared" si="11"/>
        <v>Repeat</v>
      </c>
    </row>
    <row r="386" spans="1:19" ht="15" customHeight="1" x14ac:dyDescent="0.3">
      <c r="A386">
        <v>385</v>
      </c>
      <c r="B386" t="s">
        <v>679</v>
      </c>
      <c r="C386">
        <v>6936302</v>
      </c>
      <c r="D386" t="s">
        <v>114</v>
      </c>
      <c r="E386">
        <v>50</v>
      </c>
      <c r="F386" t="s">
        <v>77</v>
      </c>
      <c r="G386" s="10">
        <v>45494</v>
      </c>
      <c r="H386" t="s">
        <v>43</v>
      </c>
      <c r="I386" t="s">
        <v>82</v>
      </c>
      <c r="J386" t="s">
        <v>48</v>
      </c>
      <c r="K386" t="s">
        <v>193</v>
      </c>
      <c r="L386" t="s">
        <v>56</v>
      </c>
      <c r="M386" t="s">
        <v>122</v>
      </c>
      <c r="N386">
        <v>5</v>
      </c>
      <c r="O386" t="s">
        <v>117</v>
      </c>
      <c r="P386" s="11">
        <v>6900</v>
      </c>
      <c r="Q386" t="s">
        <v>67</v>
      </c>
      <c r="R386" s="11">
        <f t="shared" ref="R386:R449" si="12">IF(I386="Delivered",P386,0)</f>
        <v>6900</v>
      </c>
      <c r="S386" t="str">
        <f t="shared" ref="S386:S449" si="13">IF(COUNTIF($C$2:$C$1501,C386)&gt;1,"Repeat","One-Time")</f>
        <v>One-Time</v>
      </c>
    </row>
    <row r="387" spans="1:19" ht="15" customHeight="1" x14ac:dyDescent="0.3">
      <c r="A387">
        <v>386</v>
      </c>
      <c r="B387" t="s">
        <v>680</v>
      </c>
      <c r="C387">
        <v>9117771</v>
      </c>
      <c r="D387" t="s">
        <v>114</v>
      </c>
      <c r="E387">
        <v>32</v>
      </c>
      <c r="F387" t="s">
        <v>76</v>
      </c>
      <c r="G387" s="10">
        <v>45495</v>
      </c>
      <c r="H387" t="s">
        <v>43</v>
      </c>
      <c r="I387" t="s">
        <v>82</v>
      </c>
      <c r="J387" t="s">
        <v>48</v>
      </c>
      <c r="K387" t="s">
        <v>193</v>
      </c>
      <c r="L387" t="s">
        <v>56</v>
      </c>
      <c r="M387" t="s">
        <v>122</v>
      </c>
      <c r="N387">
        <v>4</v>
      </c>
      <c r="O387" t="s">
        <v>117</v>
      </c>
      <c r="P387" s="11">
        <v>6900</v>
      </c>
      <c r="Q387" t="s">
        <v>69</v>
      </c>
      <c r="R387" s="11">
        <f t="shared" si="12"/>
        <v>6900</v>
      </c>
      <c r="S387" t="str">
        <f t="shared" si="13"/>
        <v>One-Time</v>
      </c>
    </row>
    <row r="388" spans="1:19" ht="15" customHeight="1" x14ac:dyDescent="0.3">
      <c r="A388">
        <v>387</v>
      </c>
      <c r="B388" t="s">
        <v>681</v>
      </c>
      <c r="C388">
        <v>3176719</v>
      </c>
      <c r="D388" t="s">
        <v>114</v>
      </c>
      <c r="E388">
        <v>78</v>
      </c>
      <c r="F388" t="s">
        <v>77</v>
      </c>
      <c r="G388" s="10">
        <v>45496</v>
      </c>
      <c r="H388" t="s">
        <v>43</v>
      </c>
      <c r="I388" t="s">
        <v>82</v>
      </c>
      <c r="J388" t="s">
        <v>48</v>
      </c>
      <c r="K388" t="s">
        <v>193</v>
      </c>
      <c r="L388" t="s">
        <v>56</v>
      </c>
      <c r="M388" t="s">
        <v>122</v>
      </c>
      <c r="N388">
        <v>8</v>
      </c>
      <c r="O388" t="s">
        <v>117</v>
      </c>
      <c r="P388" s="11">
        <v>6900</v>
      </c>
      <c r="Q388" t="s">
        <v>67</v>
      </c>
      <c r="R388" s="11">
        <f t="shared" si="12"/>
        <v>6900</v>
      </c>
      <c r="S388" t="str">
        <f t="shared" si="13"/>
        <v>One-Time</v>
      </c>
    </row>
    <row r="389" spans="1:19" ht="15" customHeight="1" x14ac:dyDescent="0.3">
      <c r="A389">
        <v>388</v>
      </c>
      <c r="B389" t="s">
        <v>682</v>
      </c>
      <c r="C389">
        <v>5627495</v>
      </c>
      <c r="D389" t="s">
        <v>114</v>
      </c>
      <c r="E389">
        <v>32</v>
      </c>
      <c r="F389" t="s">
        <v>76</v>
      </c>
      <c r="G389" s="10">
        <v>45497</v>
      </c>
      <c r="H389" t="s">
        <v>43</v>
      </c>
      <c r="I389" t="s">
        <v>82</v>
      </c>
      <c r="J389" t="s">
        <v>48</v>
      </c>
      <c r="K389" t="s">
        <v>193</v>
      </c>
      <c r="L389" t="s">
        <v>56</v>
      </c>
      <c r="M389" t="s">
        <v>122</v>
      </c>
      <c r="N389">
        <v>7</v>
      </c>
      <c r="O389" t="s">
        <v>117</v>
      </c>
      <c r="P389" s="11">
        <v>6900</v>
      </c>
      <c r="Q389" t="s">
        <v>68</v>
      </c>
      <c r="R389" s="11">
        <f t="shared" si="12"/>
        <v>6900</v>
      </c>
      <c r="S389" t="str">
        <f t="shared" si="13"/>
        <v>One-Time</v>
      </c>
    </row>
    <row r="390" spans="1:19" ht="15" customHeight="1" x14ac:dyDescent="0.3">
      <c r="A390">
        <v>389</v>
      </c>
      <c r="B390" t="s">
        <v>683</v>
      </c>
      <c r="C390">
        <v>8666099</v>
      </c>
      <c r="D390" t="s">
        <v>114</v>
      </c>
      <c r="E390">
        <v>54</v>
      </c>
      <c r="F390" t="s">
        <v>77</v>
      </c>
      <c r="G390" s="10">
        <v>45498</v>
      </c>
      <c r="H390" t="s">
        <v>43</v>
      </c>
      <c r="I390" t="s">
        <v>82</v>
      </c>
      <c r="J390" t="s">
        <v>48</v>
      </c>
      <c r="K390" t="s">
        <v>193</v>
      </c>
      <c r="L390" t="s">
        <v>56</v>
      </c>
      <c r="M390" t="s">
        <v>122</v>
      </c>
      <c r="N390">
        <v>9</v>
      </c>
      <c r="O390" t="s">
        <v>117</v>
      </c>
      <c r="P390" s="11">
        <v>6900</v>
      </c>
      <c r="Q390" t="s">
        <v>684</v>
      </c>
      <c r="R390" s="11">
        <f t="shared" si="12"/>
        <v>6900</v>
      </c>
      <c r="S390" t="str">
        <f t="shared" si="13"/>
        <v>One-Time</v>
      </c>
    </row>
    <row r="391" spans="1:19" ht="15" customHeight="1" x14ac:dyDescent="0.3">
      <c r="A391">
        <v>390</v>
      </c>
      <c r="B391" t="s">
        <v>685</v>
      </c>
      <c r="C391">
        <v>2950631</v>
      </c>
      <c r="D391" t="s">
        <v>114</v>
      </c>
      <c r="E391">
        <v>43</v>
      </c>
      <c r="F391" t="s">
        <v>76</v>
      </c>
      <c r="G391" s="10">
        <v>45499</v>
      </c>
      <c r="H391" t="s">
        <v>43</v>
      </c>
      <c r="I391" t="s">
        <v>82</v>
      </c>
      <c r="J391" t="s">
        <v>48</v>
      </c>
      <c r="K391" t="s">
        <v>193</v>
      </c>
      <c r="L391" t="s">
        <v>56</v>
      </c>
      <c r="M391" t="s">
        <v>122</v>
      </c>
      <c r="N391">
        <v>3</v>
      </c>
      <c r="O391" t="s">
        <v>117</v>
      </c>
      <c r="P391" s="11">
        <v>6900</v>
      </c>
      <c r="Q391" t="s">
        <v>63</v>
      </c>
      <c r="R391" s="11">
        <f t="shared" si="12"/>
        <v>6900</v>
      </c>
      <c r="S391" t="str">
        <f t="shared" si="13"/>
        <v>One-Time</v>
      </c>
    </row>
    <row r="392" spans="1:19" ht="15" customHeight="1" x14ac:dyDescent="0.3">
      <c r="A392">
        <v>391</v>
      </c>
      <c r="B392" t="s">
        <v>686</v>
      </c>
      <c r="C392">
        <v>2273061</v>
      </c>
      <c r="D392" t="s">
        <v>114</v>
      </c>
      <c r="E392">
        <v>38</v>
      </c>
      <c r="F392" t="s">
        <v>76</v>
      </c>
      <c r="G392" s="10">
        <v>45500</v>
      </c>
      <c r="H392" t="s">
        <v>43</v>
      </c>
      <c r="I392" t="s">
        <v>82</v>
      </c>
      <c r="J392" t="s">
        <v>48</v>
      </c>
      <c r="K392" t="s">
        <v>193</v>
      </c>
      <c r="L392" t="s">
        <v>56</v>
      </c>
      <c r="M392" t="s">
        <v>122</v>
      </c>
      <c r="N392">
        <v>32</v>
      </c>
      <c r="O392" t="s">
        <v>117</v>
      </c>
      <c r="P392" s="11">
        <v>6900</v>
      </c>
      <c r="Q392" t="s">
        <v>70</v>
      </c>
      <c r="R392" s="11">
        <f t="shared" si="12"/>
        <v>6900</v>
      </c>
      <c r="S392" t="str">
        <f t="shared" si="13"/>
        <v>One-Time</v>
      </c>
    </row>
    <row r="393" spans="1:19" ht="15" customHeight="1" x14ac:dyDescent="0.3">
      <c r="A393">
        <v>392</v>
      </c>
      <c r="B393" t="s">
        <v>687</v>
      </c>
      <c r="C393">
        <v>5272502</v>
      </c>
      <c r="D393" t="s">
        <v>114</v>
      </c>
      <c r="E393">
        <v>45</v>
      </c>
      <c r="F393" t="s">
        <v>76</v>
      </c>
      <c r="G393" s="10">
        <v>45501</v>
      </c>
      <c r="H393" t="s">
        <v>43</v>
      </c>
      <c r="I393" t="s">
        <v>82</v>
      </c>
      <c r="J393" t="s">
        <v>48</v>
      </c>
      <c r="K393" t="s">
        <v>115</v>
      </c>
      <c r="L393" t="s">
        <v>56</v>
      </c>
      <c r="M393" t="s">
        <v>122</v>
      </c>
      <c r="N393">
        <v>65</v>
      </c>
      <c r="O393" t="s">
        <v>117</v>
      </c>
      <c r="P393" s="11">
        <v>6900</v>
      </c>
      <c r="Q393" t="s">
        <v>223</v>
      </c>
      <c r="R393" s="11">
        <f t="shared" si="12"/>
        <v>6900</v>
      </c>
      <c r="S393" t="str">
        <f t="shared" si="13"/>
        <v>One-Time</v>
      </c>
    </row>
    <row r="394" spans="1:19" ht="15" customHeight="1" x14ac:dyDescent="0.3">
      <c r="A394">
        <v>393</v>
      </c>
      <c r="B394" t="s">
        <v>688</v>
      </c>
      <c r="C394">
        <v>3639245</v>
      </c>
      <c r="D394" t="s">
        <v>114</v>
      </c>
      <c r="E394">
        <v>39</v>
      </c>
      <c r="F394" t="s">
        <v>76</v>
      </c>
      <c r="G394" s="10">
        <v>45502</v>
      </c>
      <c r="H394" t="s">
        <v>43</v>
      </c>
      <c r="I394" t="s">
        <v>83</v>
      </c>
      <c r="J394" t="s">
        <v>48</v>
      </c>
      <c r="K394" t="s">
        <v>115</v>
      </c>
      <c r="L394" t="s">
        <v>56</v>
      </c>
      <c r="M394" t="s">
        <v>122</v>
      </c>
      <c r="N394">
        <v>4</v>
      </c>
      <c r="O394" t="s">
        <v>117</v>
      </c>
      <c r="P394" s="11">
        <v>6900</v>
      </c>
      <c r="Q394" t="s">
        <v>689</v>
      </c>
      <c r="R394" s="11">
        <f t="shared" si="12"/>
        <v>0</v>
      </c>
      <c r="S394" t="str">
        <f t="shared" si="13"/>
        <v>One-Time</v>
      </c>
    </row>
    <row r="395" spans="1:19" ht="15" customHeight="1" x14ac:dyDescent="0.3">
      <c r="A395">
        <v>394</v>
      </c>
      <c r="B395" t="s">
        <v>690</v>
      </c>
      <c r="C395">
        <v>5199868</v>
      </c>
      <c r="D395" t="s">
        <v>114</v>
      </c>
      <c r="E395">
        <v>51</v>
      </c>
      <c r="F395" t="s">
        <v>77</v>
      </c>
      <c r="G395" s="10">
        <v>45503</v>
      </c>
      <c r="H395" t="s">
        <v>43</v>
      </c>
      <c r="I395" t="s">
        <v>82</v>
      </c>
      <c r="J395" t="s">
        <v>48</v>
      </c>
      <c r="K395" t="s">
        <v>115</v>
      </c>
      <c r="L395" t="s">
        <v>56</v>
      </c>
      <c r="M395" t="s">
        <v>122</v>
      </c>
      <c r="N395">
        <v>1</v>
      </c>
      <c r="O395" t="s">
        <v>117</v>
      </c>
      <c r="P395" s="11">
        <v>6900</v>
      </c>
      <c r="Q395" t="s">
        <v>70</v>
      </c>
      <c r="R395" s="11">
        <f t="shared" si="12"/>
        <v>6900</v>
      </c>
      <c r="S395" t="str">
        <f t="shared" si="13"/>
        <v>One-Time</v>
      </c>
    </row>
    <row r="396" spans="1:19" ht="15" customHeight="1" x14ac:dyDescent="0.3">
      <c r="A396">
        <v>395</v>
      </c>
      <c r="B396" t="s">
        <v>691</v>
      </c>
      <c r="C396">
        <v>2633521</v>
      </c>
      <c r="D396" t="s">
        <v>114</v>
      </c>
      <c r="E396">
        <v>30</v>
      </c>
      <c r="F396" t="s">
        <v>76</v>
      </c>
      <c r="G396" s="10">
        <v>45504</v>
      </c>
      <c r="H396" t="s">
        <v>43</v>
      </c>
      <c r="I396" t="s">
        <v>85</v>
      </c>
      <c r="J396" t="s">
        <v>48</v>
      </c>
      <c r="K396" t="s">
        <v>115</v>
      </c>
      <c r="L396" t="s">
        <v>56</v>
      </c>
      <c r="M396" t="s">
        <v>122</v>
      </c>
      <c r="N396">
        <v>47</v>
      </c>
      <c r="O396" t="s">
        <v>117</v>
      </c>
      <c r="P396" s="11">
        <v>6900</v>
      </c>
      <c r="Q396" t="s">
        <v>692</v>
      </c>
      <c r="R396" s="11">
        <f t="shared" si="12"/>
        <v>0</v>
      </c>
      <c r="S396" t="str">
        <f t="shared" si="13"/>
        <v>One-Time</v>
      </c>
    </row>
    <row r="397" spans="1:19" ht="15" customHeight="1" x14ac:dyDescent="0.3">
      <c r="A397">
        <v>396</v>
      </c>
      <c r="B397" t="s">
        <v>693</v>
      </c>
      <c r="C397">
        <v>3204932</v>
      </c>
      <c r="D397" t="s">
        <v>114</v>
      </c>
      <c r="E397">
        <v>21</v>
      </c>
      <c r="F397" t="s">
        <v>75</v>
      </c>
      <c r="G397" s="10">
        <v>45505</v>
      </c>
      <c r="H397" t="s">
        <v>44</v>
      </c>
      <c r="I397" t="s">
        <v>82</v>
      </c>
      <c r="J397" t="s">
        <v>48</v>
      </c>
      <c r="K397" t="s">
        <v>115</v>
      </c>
      <c r="L397" t="s">
        <v>56</v>
      </c>
      <c r="M397" t="s">
        <v>122</v>
      </c>
      <c r="N397">
        <v>3</v>
      </c>
      <c r="O397" t="s">
        <v>117</v>
      </c>
      <c r="P397" s="11">
        <v>6900</v>
      </c>
      <c r="Q397" t="s">
        <v>694</v>
      </c>
      <c r="R397" s="11">
        <f t="shared" si="12"/>
        <v>6900</v>
      </c>
      <c r="S397" t="str">
        <f t="shared" si="13"/>
        <v>One-Time</v>
      </c>
    </row>
    <row r="398" spans="1:19" ht="15" customHeight="1" x14ac:dyDescent="0.3">
      <c r="A398">
        <v>397</v>
      </c>
      <c r="B398" t="s">
        <v>695</v>
      </c>
      <c r="C398">
        <v>8846329</v>
      </c>
      <c r="D398" t="s">
        <v>114</v>
      </c>
      <c r="E398">
        <v>44</v>
      </c>
      <c r="F398" t="s">
        <v>76</v>
      </c>
      <c r="G398" s="10">
        <v>45506</v>
      </c>
      <c r="H398" t="s">
        <v>44</v>
      </c>
      <c r="I398" t="s">
        <v>82</v>
      </c>
      <c r="J398" t="s">
        <v>48</v>
      </c>
      <c r="K398" t="s">
        <v>115</v>
      </c>
      <c r="L398" t="s">
        <v>56</v>
      </c>
      <c r="M398" t="s">
        <v>122</v>
      </c>
      <c r="N398">
        <v>4</v>
      </c>
      <c r="O398" t="s">
        <v>117</v>
      </c>
      <c r="P398" s="11">
        <v>6900</v>
      </c>
      <c r="Q398" t="s">
        <v>696</v>
      </c>
      <c r="R398" s="11">
        <f t="shared" si="12"/>
        <v>6900</v>
      </c>
      <c r="S398" t="str">
        <f t="shared" si="13"/>
        <v>One-Time</v>
      </c>
    </row>
    <row r="399" spans="1:19" ht="15" customHeight="1" x14ac:dyDescent="0.3">
      <c r="A399">
        <v>398</v>
      </c>
      <c r="B399" t="s">
        <v>697</v>
      </c>
      <c r="C399">
        <v>5669660</v>
      </c>
      <c r="D399" t="s">
        <v>114</v>
      </c>
      <c r="E399">
        <v>20</v>
      </c>
      <c r="F399" t="s">
        <v>75</v>
      </c>
      <c r="G399" s="10">
        <v>45507</v>
      </c>
      <c r="H399" t="s">
        <v>44</v>
      </c>
      <c r="I399" t="s">
        <v>82</v>
      </c>
      <c r="J399" t="s">
        <v>48</v>
      </c>
      <c r="K399" t="s">
        <v>115</v>
      </c>
      <c r="L399" t="s">
        <v>56</v>
      </c>
      <c r="M399" t="s">
        <v>315</v>
      </c>
      <c r="N399">
        <v>4</v>
      </c>
      <c r="O399" t="s">
        <v>117</v>
      </c>
      <c r="P399" s="11">
        <v>6900</v>
      </c>
      <c r="Q399" t="s">
        <v>67</v>
      </c>
      <c r="R399" s="11">
        <f t="shared" si="12"/>
        <v>6900</v>
      </c>
      <c r="S399" t="str">
        <f t="shared" si="13"/>
        <v>One-Time</v>
      </c>
    </row>
    <row r="400" spans="1:19" ht="15" customHeight="1" x14ac:dyDescent="0.3">
      <c r="A400">
        <v>399</v>
      </c>
      <c r="B400" t="s">
        <v>698</v>
      </c>
      <c r="C400">
        <v>3743867</v>
      </c>
      <c r="D400" t="s">
        <v>114</v>
      </c>
      <c r="E400">
        <v>35</v>
      </c>
      <c r="F400" t="s">
        <v>76</v>
      </c>
      <c r="G400" s="10">
        <v>45508</v>
      </c>
      <c r="H400" t="s">
        <v>44</v>
      </c>
      <c r="I400" t="s">
        <v>82</v>
      </c>
      <c r="J400" t="s">
        <v>48</v>
      </c>
      <c r="K400" t="s">
        <v>115</v>
      </c>
      <c r="L400" t="s">
        <v>56</v>
      </c>
      <c r="M400" t="s">
        <v>315</v>
      </c>
      <c r="N400">
        <v>9</v>
      </c>
      <c r="O400" t="s">
        <v>117</v>
      </c>
      <c r="P400" s="11">
        <v>6900</v>
      </c>
      <c r="Q400" t="s">
        <v>601</v>
      </c>
      <c r="R400" s="11">
        <f t="shared" si="12"/>
        <v>6900</v>
      </c>
      <c r="S400" t="str">
        <f t="shared" si="13"/>
        <v>One-Time</v>
      </c>
    </row>
    <row r="401" spans="1:19" ht="15" customHeight="1" x14ac:dyDescent="0.3">
      <c r="A401">
        <v>400</v>
      </c>
      <c r="B401" t="s">
        <v>699</v>
      </c>
      <c r="C401">
        <v>8790622</v>
      </c>
      <c r="D401" t="s">
        <v>114</v>
      </c>
      <c r="E401">
        <v>18</v>
      </c>
      <c r="F401" t="s">
        <v>75</v>
      </c>
      <c r="G401" s="10">
        <v>45509</v>
      </c>
      <c r="H401" t="s">
        <v>44</v>
      </c>
      <c r="I401" t="s">
        <v>82</v>
      </c>
      <c r="J401" t="s">
        <v>47</v>
      </c>
      <c r="K401" t="s">
        <v>115</v>
      </c>
      <c r="L401" t="s">
        <v>56</v>
      </c>
      <c r="M401" t="s">
        <v>315</v>
      </c>
      <c r="N401">
        <v>8</v>
      </c>
      <c r="O401" t="s">
        <v>117</v>
      </c>
      <c r="P401" s="11">
        <v>6900</v>
      </c>
      <c r="Q401" t="s">
        <v>62</v>
      </c>
      <c r="R401" s="11">
        <f t="shared" si="12"/>
        <v>6900</v>
      </c>
      <c r="S401" t="str">
        <f t="shared" si="13"/>
        <v>One-Time</v>
      </c>
    </row>
    <row r="402" spans="1:19" ht="15" customHeight="1" x14ac:dyDescent="0.3">
      <c r="A402">
        <v>401</v>
      </c>
      <c r="B402" t="s">
        <v>700</v>
      </c>
      <c r="C402">
        <v>6016873</v>
      </c>
      <c r="D402" t="s">
        <v>114</v>
      </c>
      <c r="E402">
        <v>49</v>
      </c>
      <c r="F402" t="s">
        <v>76</v>
      </c>
      <c r="G402" s="10">
        <v>45510</v>
      </c>
      <c r="H402" t="s">
        <v>44</v>
      </c>
      <c r="I402" t="s">
        <v>82</v>
      </c>
      <c r="J402" t="s">
        <v>47</v>
      </c>
      <c r="K402" t="s">
        <v>115</v>
      </c>
      <c r="L402" t="s">
        <v>56</v>
      </c>
      <c r="M402" t="s">
        <v>315</v>
      </c>
      <c r="N402">
        <v>3</v>
      </c>
      <c r="O402" t="s">
        <v>117</v>
      </c>
      <c r="P402" s="11">
        <v>6900</v>
      </c>
      <c r="Q402" t="s">
        <v>701</v>
      </c>
      <c r="R402" s="11">
        <f t="shared" si="12"/>
        <v>6900</v>
      </c>
      <c r="S402" t="str">
        <f t="shared" si="13"/>
        <v>One-Time</v>
      </c>
    </row>
    <row r="403" spans="1:19" ht="15" customHeight="1" x14ac:dyDescent="0.3">
      <c r="A403">
        <v>402</v>
      </c>
      <c r="B403" t="s">
        <v>702</v>
      </c>
      <c r="C403">
        <v>4515678</v>
      </c>
      <c r="D403" t="s">
        <v>114</v>
      </c>
      <c r="E403">
        <v>46</v>
      </c>
      <c r="F403" t="s">
        <v>76</v>
      </c>
      <c r="G403" s="10">
        <v>45511</v>
      </c>
      <c r="H403" t="s">
        <v>44</v>
      </c>
      <c r="I403" t="s">
        <v>82</v>
      </c>
      <c r="J403" t="s">
        <v>47</v>
      </c>
      <c r="K403" t="s">
        <v>115</v>
      </c>
      <c r="L403" t="s">
        <v>56</v>
      </c>
      <c r="M403" t="s">
        <v>315</v>
      </c>
      <c r="N403">
        <v>6</v>
      </c>
      <c r="O403" t="s">
        <v>117</v>
      </c>
      <c r="P403" s="11">
        <v>6900</v>
      </c>
      <c r="Q403" t="s">
        <v>703</v>
      </c>
      <c r="R403" s="11">
        <f t="shared" si="12"/>
        <v>6900</v>
      </c>
      <c r="S403" t="str">
        <f t="shared" si="13"/>
        <v>One-Time</v>
      </c>
    </row>
    <row r="404" spans="1:19" ht="15" customHeight="1" x14ac:dyDescent="0.3">
      <c r="A404">
        <v>403</v>
      </c>
      <c r="B404" t="s">
        <v>704</v>
      </c>
      <c r="C404">
        <v>206214</v>
      </c>
      <c r="D404" t="s">
        <v>114</v>
      </c>
      <c r="E404">
        <v>42</v>
      </c>
      <c r="F404" t="s">
        <v>76</v>
      </c>
      <c r="G404" s="10">
        <v>45512</v>
      </c>
      <c r="H404" t="s">
        <v>44</v>
      </c>
      <c r="I404" t="s">
        <v>82</v>
      </c>
      <c r="J404" t="s">
        <v>47</v>
      </c>
      <c r="K404" t="s">
        <v>115</v>
      </c>
      <c r="L404" t="s">
        <v>56</v>
      </c>
      <c r="M404" t="s">
        <v>315</v>
      </c>
      <c r="N404">
        <v>9</v>
      </c>
      <c r="O404" t="s">
        <v>117</v>
      </c>
      <c r="P404" s="11">
        <v>6900</v>
      </c>
      <c r="Q404" t="s">
        <v>705</v>
      </c>
      <c r="R404" s="11">
        <f t="shared" si="12"/>
        <v>6900</v>
      </c>
      <c r="S404" t="str">
        <f t="shared" si="13"/>
        <v>One-Time</v>
      </c>
    </row>
    <row r="405" spans="1:19" ht="15" customHeight="1" x14ac:dyDescent="0.3">
      <c r="A405">
        <v>404</v>
      </c>
      <c r="B405" t="s">
        <v>706</v>
      </c>
      <c r="C405">
        <v>9158142</v>
      </c>
      <c r="D405" t="s">
        <v>114</v>
      </c>
      <c r="E405">
        <v>23</v>
      </c>
      <c r="F405" t="s">
        <v>75</v>
      </c>
      <c r="G405" s="10">
        <v>45513</v>
      </c>
      <c r="H405" t="s">
        <v>44</v>
      </c>
      <c r="I405" t="s">
        <v>82</v>
      </c>
      <c r="J405" t="s">
        <v>47</v>
      </c>
      <c r="K405" t="s">
        <v>115</v>
      </c>
      <c r="L405" t="s">
        <v>56</v>
      </c>
      <c r="M405" t="s">
        <v>315</v>
      </c>
      <c r="N405">
        <v>2</v>
      </c>
      <c r="O405" t="s">
        <v>117</v>
      </c>
      <c r="P405" s="11">
        <v>6300</v>
      </c>
      <c r="Q405" t="s">
        <v>313</v>
      </c>
      <c r="R405" s="11">
        <f t="shared" si="12"/>
        <v>6300</v>
      </c>
      <c r="S405" t="str">
        <f t="shared" si="13"/>
        <v>One-Time</v>
      </c>
    </row>
    <row r="406" spans="1:19" ht="15" customHeight="1" x14ac:dyDescent="0.3">
      <c r="A406">
        <v>405</v>
      </c>
      <c r="B406" t="s">
        <v>707</v>
      </c>
      <c r="C406">
        <v>6580211</v>
      </c>
      <c r="D406" t="s">
        <v>114</v>
      </c>
      <c r="E406">
        <v>36</v>
      </c>
      <c r="F406" t="s">
        <v>76</v>
      </c>
      <c r="G406" s="10">
        <v>45514</v>
      </c>
      <c r="H406" t="s">
        <v>44</v>
      </c>
      <c r="I406" t="s">
        <v>82</v>
      </c>
      <c r="J406" t="s">
        <v>47</v>
      </c>
      <c r="K406" t="s">
        <v>115</v>
      </c>
      <c r="L406" t="s">
        <v>56</v>
      </c>
      <c r="M406" t="s">
        <v>315</v>
      </c>
      <c r="N406">
        <v>5</v>
      </c>
      <c r="O406" t="s">
        <v>117</v>
      </c>
      <c r="P406" s="11">
        <v>6300</v>
      </c>
      <c r="Q406" t="s">
        <v>265</v>
      </c>
      <c r="R406" s="11">
        <f t="shared" si="12"/>
        <v>6300</v>
      </c>
      <c r="S406" t="str">
        <f t="shared" si="13"/>
        <v>One-Time</v>
      </c>
    </row>
    <row r="407" spans="1:19" ht="15" customHeight="1" x14ac:dyDescent="0.3">
      <c r="A407">
        <v>406</v>
      </c>
      <c r="B407" t="s">
        <v>708</v>
      </c>
      <c r="C407">
        <v>8484605</v>
      </c>
      <c r="D407" t="s">
        <v>114</v>
      </c>
      <c r="E407">
        <v>67</v>
      </c>
      <c r="F407" t="s">
        <v>77</v>
      </c>
      <c r="G407" s="10">
        <v>45515</v>
      </c>
      <c r="H407" t="s">
        <v>44</v>
      </c>
      <c r="I407" t="s">
        <v>82</v>
      </c>
      <c r="J407" t="s">
        <v>47</v>
      </c>
      <c r="K407" t="s">
        <v>115</v>
      </c>
      <c r="L407" t="s">
        <v>56</v>
      </c>
      <c r="M407" t="s">
        <v>315</v>
      </c>
      <c r="N407">
        <v>6</v>
      </c>
      <c r="O407" t="s">
        <v>117</v>
      </c>
      <c r="P407" s="11">
        <v>6300</v>
      </c>
      <c r="Q407" t="s">
        <v>709</v>
      </c>
      <c r="R407" s="11">
        <f t="shared" si="12"/>
        <v>6300</v>
      </c>
      <c r="S407" t="str">
        <f t="shared" si="13"/>
        <v>One-Time</v>
      </c>
    </row>
    <row r="408" spans="1:19" ht="15" customHeight="1" x14ac:dyDescent="0.3">
      <c r="A408">
        <v>407</v>
      </c>
      <c r="B408" t="s">
        <v>710</v>
      </c>
      <c r="C408">
        <v>7905996</v>
      </c>
      <c r="D408" t="s">
        <v>114</v>
      </c>
      <c r="E408">
        <v>76</v>
      </c>
      <c r="F408" t="s">
        <v>77</v>
      </c>
      <c r="G408" s="10">
        <v>45516</v>
      </c>
      <c r="H408" t="s">
        <v>44</v>
      </c>
      <c r="I408" t="s">
        <v>82</v>
      </c>
      <c r="J408" t="s">
        <v>47</v>
      </c>
      <c r="K408" t="s">
        <v>115</v>
      </c>
      <c r="L408" t="s">
        <v>56</v>
      </c>
      <c r="M408" t="s">
        <v>315</v>
      </c>
      <c r="N408">
        <v>9</v>
      </c>
      <c r="O408" t="s">
        <v>117</v>
      </c>
      <c r="P408" s="11">
        <v>6300</v>
      </c>
      <c r="Q408" t="s">
        <v>63</v>
      </c>
      <c r="R408" s="11">
        <f t="shared" si="12"/>
        <v>6300</v>
      </c>
      <c r="S408" t="str">
        <f t="shared" si="13"/>
        <v>One-Time</v>
      </c>
    </row>
    <row r="409" spans="1:19" ht="15" customHeight="1" x14ac:dyDescent="0.3">
      <c r="A409">
        <v>408</v>
      </c>
      <c r="B409" t="s">
        <v>711</v>
      </c>
      <c r="C409">
        <v>3907505</v>
      </c>
      <c r="D409" t="s">
        <v>114</v>
      </c>
      <c r="E409">
        <v>21</v>
      </c>
      <c r="F409" t="s">
        <v>75</v>
      </c>
      <c r="G409" s="10">
        <v>45517</v>
      </c>
      <c r="H409" t="s">
        <v>44</v>
      </c>
      <c r="I409" t="s">
        <v>82</v>
      </c>
      <c r="J409" t="s">
        <v>47</v>
      </c>
      <c r="K409" t="s">
        <v>115</v>
      </c>
      <c r="L409" t="s">
        <v>56</v>
      </c>
      <c r="M409" t="s">
        <v>315</v>
      </c>
      <c r="N409">
        <v>7</v>
      </c>
      <c r="O409" t="s">
        <v>117</v>
      </c>
      <c r="P409" s="11">
        <v>6300</v>
      </c>
      <c r="Q409" t="s">
        <v>64</v>
      </c>
      <c r="R409" s="11">
        <f t="shared" si="12"/>
        <v>6300</v>
      </c>
      <c r="S409" t="str">
        <f t="shared" si="13"/>
        <v>Repeat</v>
      </c>
    </row>
    <row r="410" spans="1:19" ht="15" customHeight="1" x14ac:dyDescent="0.3">
      <c r="A410">
        <v>409</v>
      </c>
      <c r="B410" t="s">
        <v>711</v>
      </c>
      <c r="C410">
        <v>3907505</v>
      </c>
      <c r="D410" t="s">
        <v>114</v>
      </c>
      <c r="E410">
        <v>76</v>
      </c>
      <c r="F410" t="s">
        <v>77</v>
      </c>
      <c r="G410" s="10">
        <v>45518</v>
      </c>
      <c r="H410" t="s">
        <v>44</v>
      </c>
      <c r="I410" t="s">
        <v>82</v>
      </c>
      <c r="J410" t="s">
        <v>47</v>
      </c>
      <c r="K410" t="s">
        <v>115</v>
      </c>
      <c r="L410" t="s">
        <v>56</v>
      </c>
      <c r="M410" t="s">
        <v>315</v>
      </c>
      <c r="N410">
        <v>81</v>
      </c>
      <c r="O410" t="s">
        <v>117</v>
      </c>
      <c r="P410" s="11">
        <v>6300</v>
      </c>
      <c r="Q410" t="s">
        <v>67</v>
      </c>
      <c r="R410" s="11">
        <f t="shared" si="12"/>
        <v>6300</v>
      </c>
      <c r="S410" t="str">
        <f t="shared" si="13"/>
        <v>Repeat</v>
      </c>
    </row>
    <row r="411" spans="1:19" ht="15" customHeight="1" x14ac:dyDescent="0.3">
      <c r="A411">
        <v>410</v>
      </c>
      <c r="B411" t="s">
        <v>712</v>
      </c>
      <c r="C411">
        <v>2722190</v>
      </c>
      <c r="D411" t="s">
        <v>114</v>
      </c>
      <c r="E411">
        <v>31</v>
      </c>
      <c r="F411" t="s">
        <v>76</v>
      </c>
      <c r="G411" s="10">
        <v>45507</v>
      </c>
      <c r="H411" t="s">
        <v>44</v>
      </c>
      <c r="I411" t="s">
        <v>82</v>
      </c>
      <c r="J411" t="s">
        <v>47</v>
      </c>
      <c r="K411" t="s">
        <v>115</v>
      </c>
      <c r="L411" t="s">
        <v>56</v>
      </c>
      <c r="M411" t="s">
        <v>315</v>
      </c>
      <c r="N411">
        <v>24</v>
      </c>
      <c r="O411" t="s">
        <v>117</v>
      </c>
      <c r="P411" s="11">
        <v>6300</v>
      </c>
      <c r="Q411" t="s">
        <v>63</v>
      </c>
      <c r="R411" s="11">
        <f t="shared" si="12"/>
        <v>6300</v>
      </c>
      <c r="S411" t="str">
        <f t="shared" si="13"/>
        <v>One-Time</v>
      </c>
    </row>
    <row r="412" spans="1:19" ht="15" customHeight="1" x14ac:dyDescent="0.3">
      <c r="A412">
        <v>411</v>
      </c>
      <c r="B412" t="s">
        <v>713</v>
      </c>
      <c r="C412">
        <v>418007</v>
      </c>
      <c r="D412" t="s">
        <v>114</v>
      </c>
      <c r="E412">
        <v>27</v>
      </c>
      <c r="F412" t="s">
        <v>75</v>
      </c>
      <c r="G412" s="10">
        <v>45295</v>
      </c>
      <c r="H412" t="s">
        <v>37</v>
      </c>
      <c r="I412" t="s">
        <v>82</v>
      </c>
      <c r="J412" t="s">
        <v>47</v>
      </c>
      <c r="K412" t="s">
        <v>115</v>
      </c>
      <c r="L412" t="s">
        <v>56</v>
      </c>
      <c r="M412" t="s">
        <v>315</v>
      </c>
      <c r="N412">
        <v>56</v>
      </c>
      <c r="O412" t="s">
        <v>117</v>
      </c>
      <c r="P412" s="11">
        <v>6300</v>
      </c>
      <c r="Q412" t="s">
        <v>714</v>
      </c>
      <c r="R412" s="11">
        <f t="shared" si="12"/>
        <v>6300</v>
      </c>
      <c r="S412" t="str">
        <f t="shared" si="13"/>
        <v>One-Time</v>
      </c>
    </row>
    <row r="413" spans="1:19" ht="15" customHeight="1" x14ac:dyDescent="0.3">
      <c r="A413">
        <v>412</v>
      </c>
      <c r="B413" t="s">
        <v>715</v>
      </c>
      <c r="C413">
        <v>5462211</v>
      </c>
      <c r="D413" t="s">
        <v>114</v>
      </c>
      <c r="E413">
        <v>19</v>
      </c>
      <c r="F413" t="s">
        <v>75</v>
      </c>
      <c r="G413" s="10">
        <v>45296</v>
      </c>
      <c r="H413" t="s">
        <v>37</v>
      </c>
      <c r="I413" t="s">
        <v>85</v>
      </c>
      <c r="J413" t="s">
        <v>47</v>
      </c>
      <c r="K413" t="s">
        <v>115</v>
      </c>
      <c r="L413" t="s">
        <v>56</v>
      </c>
      <c r="M413" t="s">
        <v>315</v>
      </c>
      <c r="N413">
        <v>55</v>
      </c>
      <c r="O413" t="s">
        <v>117</v>
      </c>
      <c r="P413" s="11">
        <v>6300</v>
      </c>
      <c r="Q413" t="s">
        <v>325</v>
      </c>
      <c r="R413" s="11">
        <f t="shared" si="12"/>
        <v>0</v>
      </c>
      <c r="S413" t="str">
        <f t="shared" si="13"/>
        <v>One-Time</v>
      </c>
    </row>
    <row r="414" spans="1:19" ht="15" customHeight="1" x14ac:dyDescent="0.3">
      <c r="A414">
        <v>413</v>
      </c>
      <c r="B414" t="s">
        <v>716</v>
      </c>
      <c r="C414">
        <v>2928531</v>
      </c>
      <c r="D414" t="s">
        <v>114</v>
      </c>
      <c r="E414">
        <v>43</v>
      </c>
      <c r="F414" t="s">
        <v>76</v>
      </c>
      <c r="G414" s="10">
        <v>45297</v>
      </c>
      <c r="H414" t="s">
        <v>37</v>
      </c>
      <c r="I414" t="s">
        <v>82</v>
      </c>
      <c r="J414" t="s">
        <v>47</v>
      </c>
      <c r="K414" t="s">
        <v>115</v>
      </c>
      <c r="L414" t="s">
        <v>60</v>
      </c>
      <c r="M414" t="s">
        <v>315</v>
      </c>
      <c r="N414">
        <v>5</v>
      </c>
      <c r="O414" t="s">
        <v>117</v>
      </c>
      <c r="P414" s="11">
        <v>6300</v>
      </c>
      <c r="Q414" t="s">
        <v>717</v>
      </c>
      <c r="R414" s="11">
        <f t="shared" si="12"/>
        <v>6300</v>
      </c>
      <c r="S414" t="str">
        <f t="shared" si="13"/>
        <v>One-Time</v>
      </c>
    </row>
    <row r="415" spans="1:19" ht="15" customHeight="1" x14ac:dyDescent="0.3">
      <c r="A415">
        <v>414</v>
      </c>
      <c r="B415" t="s">
        <v>718</v>
      </c>
      <c r="C415">
        <v>7292810</v>
      </c>
      <c r="D415" t="s">
        <v>114</v>
      </c>
      <c r="E415">
        <v>36</v>
      </c>
      <c r="F415" t="s">
        <v>76</v>
      </c>
      <c r="G415" s="10">
        <v>45298</v>
      </c>
      <c r="H415" t="s">
        <v>37</v>
      </c>
      <c r="I415" t="s">
        <v>82</v>
      </c>
      <c r="J415" t="s">
        <v>47</v>
      </c>
      <c r="K415" t="s">
        <v>115</v>
      </c>
      <c r="L415" t="s">
        <v>60</v>
      </c>
      <c r="M415" t="s">
        <v>315</v>
      </c>
      <c r="N415">
        <v>4</v>
      </c>
      <c r="O415" t="s">
        <v>117</v>
      </c>
      <c r="P415" s="11">
        <v>6300</v>
      </c>
      <c r="Q415" t="s">
        <v>637</v>
      </c>
      <c r="R415" s="11">
        <f t="shared" si="12"/>
        <v>6300</v>
      </c>
      <c r="S415" t="str">
        <f t="shared" si="13"/>
        <v>One-Time</v>
      </c>
    </row>
    <row r="416" spans="1:19" ht="15" customHeight="1" x14ac:dyDescent="0.3">
      <c r="A416">
        <v>415</v>
      </c>
      <c r="B416" t="s">
        <v>719</v>
      </c>
      <c r="C416">
        <v>9326035</v>
      </c>
      <c r="D416" t="s">
        <v>114</v>
      </c>
      <c r="E416">
        <v>42</v>
      </c>
      <c r="F416" t="s">
        <v>76</v>
      </c>
      <c r="G416" s="10">
        <v>45299</v>
      </c>
      <c r="H416" t="s">
        <v>37</v>
      </c>
      <c r="I416" t="s">
        <v>85</v>
      </c>
      <c r="J416" t="s">
        <v>47</v>
      </c>
      <c r="K416" t="s">
        <v>115</v>
      </c>
      <c r="L416" t="s">
        <v>60</v>
      </c>
      <c r="M416" t="s">
        <v>315</v>
      </c>
      <c r="N416">
        <v>8</v>
      </c>
      <c r="O416" t="s">
        <v>117</v>
      </c>
      <c r="P416" s="11">
        <v>6300</v>
      </c>
      <c r="Q416" t="s">
        <v>62</v>
      </c>
      <c r="R416" s="11">
        <f t="shared" si="12"/>
        <v>0</v>
      </c>
      <c r="S416" t="str">
        <f t="shared" si="13"/>
        <v>One-Time</v>
      </c>
    </row>
    <row r="417" spans="1:19" ht="15" customHeight="1" x14ac:dyDescent="0.3">
      <c r="A417">
        <v>416</v>
      </c>
      <c r="B417" t="s">
        <v>720</v>
      </c>
      <c r="C417">
        <v>6812698</v>
      </c>
      <c r="D417" t="s">
        <v>114</v>
      </c>
      <c r="E417">
        <v>32</v>
      </c>
      <c r="F417" t="s">
        <v>76</v>
      </c>
      <c r="G417" s="10">
        <v>45300</v>
      </c>
      <c r="H417" t="s">
        <v>37</v>
      </c>
      <c r="I417" t="s">
        <v>82</v>
      </c>
      <c r="J417" t="s">
        <v>47</v>
      </c>
      <c r="K417" t="s">
        <v>115</v>
      </c>
      <c r="L417" t="s">
        <v>60</v>
      </c>
      <c r="M417" t="s">
        <v>315</v>
      </c>
      <c r="N417">
        <v>7</v>
      </c>
      <c r="O417" t="s">
        <v>117</v>
      </c>
      <c r="P417" s="11">
        <v>6300</v>
      </c>
      <c r="Q417" t="s">
        <v>62</v>
      </c>
      <c r="R417" s="11">
        <f t="shared" si="12"/>
        <v>6300</v>
      </c>
      <c r="S417" t="str">
        <f t="shared" si="13"/>
        <v>One-Time</v>
      </c>
    </row>
    <row r="418" spans="1:19" ht="15" customHeight="1" x14ac:dyDescent="0.3">
      <c r="A418">
        <v>417</v>
      </c>
      <c r="B418" t="s">
        <v>721</v>
      </c>
      <c r="C418">
        <v>7886687</v>
      </c>
      <c r="D418" t="s">
        <v>114</v>
      </c>
      <c r="E418">
        <v>36</v>
      </c>
      <c r="F418" t="s">
        <v>76</v>
      </c>
      <c r="G418" s="10">
        <v>45301</v>
      </c>
      <c r="H418" t="s">
        <v>37</v>
      </c>
      <c r="I418" t="s">
        <v>82</v>
      </c>
      <c r="J418" t="s">
        <v>47</v>
      </c>
      <c r="K418" t="s">
        <v>115</v>
      </c>
      <c r="L418" t="s">
        <v>60</v>
      </c>
      <c r="M418" t="s">
        <v>315</v>
      </c>
      <c r="N418">
        <v>9</v>
      </c>
      <c r="O418" t="s">
        <v>117</v>
      </c>
      <c r="P418" s="11">
        <v>6600</v>
      </c>
      <c r="Q418" t="s">
        <v>62</v>
      </c>
      <c r="R418" s="11">
        <f t="shared" si="12"/>
        <v>6600</v>
      </c>
      <c r="S418" t="str">
        <f t="shared" si="13"/>
        <v>Repeat</v>
      </c>
    </row>
    <row r="419" spans="1:19" ht="15" customHeight="1" x14ac:dyDescent="0.3">
      <c r="A419">
        <v>418</v>
      </c>
      <c r="B419" t="s">
        <v>721</v>
      </c>
      <c r="C419">
        <v>7886687</v>
      </c>
      <c r="D419" t="s">
        <v>114</v>
      </c>
      <c r="E419">
        <v>31</v>
      </c>
      <c r="F419" t="s">
        <v>76</v>
      </c>
      <c r="G419" s="10">
        <v>45302</v>
      </c>
      <c r="H419" t="s">
        <v>37</v>
      </c>
      <c r="I419" t="s">
        <v>82</v>
      </c>
      <c r="J419" t="s">
        <v>47</v>
      </c>
      <c r="K419" t="s">
        <v>115</v>
      </c>
      <c r="L419" t="s">
        <v>60</v>
      </c>
      <c r="M419" t="s">
        <v>315</v>
      </c>
      <c r="N419">
        <v>3</v>
      </c>
      <c r="O419" t="s">
        <v>117</v>
      </c>
      <c r="P419" s="11">
        <v>6600</v>
      </c>
      <c r="Q419" t="s">
        <v>722</v>
      </c>
      <c r="R419" s="11">
        <f t="shared" si="12"/>
        <v>6600</v>
      </c>
      <c r="S419" t="str">
        <f t="shared" si="13"/>
        <v>Repeat</v>
      </c>
    </row>
    <row r="420" spans="1:19" ht="15" customHeight="1" x14ac:dyDescent="0.3">
      <c r="A420">
        <v>419</v>
      </c>
      <c r="B420" t="s">
        <v>721</v>
      </c>
      <c r="C420">
        <v>7886687</v>
      </c>
      <c r="D420" t="s">
        <v>114</v>
      </c>
      <c r="E420">
        <v>26</v>
      </c>
      <c r="F420" t="s">
        <v>75</v>
      </c>
      <c r="G420" s="10">
        <v>45303</v>
      </c>
      <c r="H420" t="s">
        <v>37</v>
      </c>
      <c r="I420" t="s">
        <v>82</v>
      </c>
      <c r="J420" t="s">
        <v>47</v>
      </c>
      <c r="K420" t="s">
        <v>115</v>
      </c>
      <c r="L420" t="s">
        <v>60</v>
      </c>
      <c r="M420" t="s">
        <v>315</v>
      </c>
      <c r="N420">
        <v>32</v>
      </c>
      <c r="O420" t="s">
        <v>117</v>
      </c>
      <c r="P420" s="11">
        <v>6600</v>
      </c>
      <c r="Q420" t="s">
        <v>723</v>
      </c>
      <c r="R420" s="11">
        <f t="shared" si="12"/>
        <v>6600</v>
      </c>
      <c r="S420" t="str">
        <f t="shared" si="13"/>
        <v>Repeat</v>
      </c>
    </row>
    <row r="421" spans="1:19" ht="15" customHeight="1" x14ac:dyDescent="0.3">
      <c r="A421">
        <v>420</v>
      </c>
      <c r="B421" t="s">
        <v>724</v>
      </c>
      <c r="C421">
        <v>3456962</v>
      </c>
      <c r="D421" t="s">
        <v>114</v>
      </c>
      <c r="E421">
        <v>22</v>
      </c>
      <c r="F421" t="s">
        <v>75</v>
      </c>
      <c r="G421" s="10">
        <v>45304</v>
      </c>
      <c r="H421" t="s">
        <v>37</v>
      </c>
      <c r="I421" t="s">
        <v>82</v>
      </c>
      <c r="J421" t="s">
        <v>47</v>
      </c>
      <c r="K421" t="s">
        <v>115</v>
      </c>
      <c r="L421" t="s">
        <v>60</v>
      </c>
      <c r="M421" t="s">
        <v>315</v>
      </c>
      <c r="N421">
        <v>65</v>
      </c>
      <c r="O421" t="s">
        <v>117</v>
      </c>
      <c r="P421" s="11">
        <v>6600</v>
      </c>
      <c r="Q421" t="s">
        <v>66</v>
      </c>
      <c r="R421" s="11">
        <f t="shared" si="12"/>
        <v>6600</v>
      </c>
      <c r="S421" t="str">
        <f t="shared" si="13"/>
        <v>One-Time</v>
      </c>
    </row>
    <row r="422" spans="1:19" ht="15" customHeight="1" x14ac:dyDescent="0.3">
      <c r="A422">
        <v>421</v>
      </c>
      <c r="B422" t="s">
        <v>725</v>
      </c>
      <c r="C422">
        <v>411709</v>
      </c>
      <c r="D422" t="s">
        <v>114</v>
      </c>
      <c r="E422">
        <v>34</v>
      </c>
      <c r="F422" t="s">
        <v>76</v>
      </c>
      <c r="G422" s="10">
        <v>45305</v>
      </c>
      <c r="H422" t="s">
        <v>37</v>
      </c>
      <c r="I422" t="s">
        <v>82</v>
      </c>
      <c r="J422" t="s">
        <v>47</v>
      </c>
      <c r="K422" t="s">
        <v>115</v>
      </c>
      <c r="L422" t="s">
        <v>60</v>
      </c>
      <c r="M422" t="s">
        <v>315</v>
      </c>
      <c r="N422">
        <v>4</v>
      </c>
      <c r="O422" t="s">
        <v>117</v>
      </c>
      <c r="P422" s="11">
        <v>6500</v>
      </c>
      <c r="Q422" t="s">
        <v>726</v>
      </c>
      <c r="R422" s="11">
        <f t="shared" si="12"/>
        <v>6500</v>
      </c>
      <c r="S422" t="str">
        <f t="shared" si="13"/>
        <v>One-Time</v>
      </c>
    </row>
    <row r="423" spans="1:19" ht="15" customHeight="1" x14ac:dyDescent="0.3">
      <c r="A423">
        <v>422</v>
      </c>
      <c r="B423" t="s">
        <v>727</v>
      </c>
      <c r="C423">
        <v>1344787</v>
      </c>
      <c r="D423" t="s">
        <v>114</v>
      </c>
      <c r="E423">
        <v>51</v>
      </c>
      <c r="F423" t="s">
        <v>77</v>
      </c>
      <c r="G423" s="10">
        <v>45306</v>
      </c>
      <c r="H423" t="s">
        <v>37</v>
      </c>
      <c r="I423" t="s">
        <v>82</v>
      </c>
      <c r="J423" t="s">
        <v>47</v>
      </c>
      <c r="K423" t="s">
        <v>115</v>
      </c>
      <c r="L423" t="s">
        <v>60</v>
      </c>
      <c r="M423" t="s">
        <v>122</v>
      </c>
      <c r="N423">
        <v>1</v>
      </c>
      <c r="O423" t="s">
        <v>117</v>
      </c>
      <c r="P423" s="11">
        <v>6500</v>
      </c>
      <c r="Q423" t="s">
        <v>728</v>
      </c>
      <c r="R423" s="11">
        <f t="shared" si="12"/>
        <v>6500</v>
      </c>
      <c r="S423" t="str">
        <f t="shared" si="13"/>
        <v>One-Time</v>
      </c>
    </row>
    <row r="424" spans="1:19" ht="15" customHeight="1" x14ac:dyDescent="0.3">
      <c r="A424">
        <v>423</v>
      </c>
      <c r="B424" t="s">
        <v>729</v>
      </c>
      <c r="C424">
        <v>2659259</v>
      </c>
      <c r="D424" t="s">
        <v>114</v>
      </c>
      <c r="E424">
        <v>58</v>
      </c>
      <c r="F424" t="s">
        <v>77</v>
      </c>
      <c r="G424" s="10">
        <v>45307</v>
      </c>
      <c r="H424" t="s">
        <v>37</v>
      </c>
      <c r="I424" t="s">
        <v>82</v>
      </c>
      <c r="J424" t="s">
        <v>47</v>
      </c>
      <c r="K424" t="s">
        <v>115</v>
      </c>
      <c r="L424" t="s">
        <v>60</v>
      </c>
      <c r="M424" t="s">
        <v>122</v>
      </c>
      <c r="N424">
        <v>47</v>
      </c>
      <c r="O424" t="s">
        <v>117</v>
      </c>
      <c r="P424" s="11">
        <v>6500</v>
      </c>
      <c r="Q424" t="s">
        <v>63</v>
      </c>
      <c r="R424" s="11">
        <f t="shared" si="12"/>
        <v>6500</v>
      </c>
      <c r="S424" t="str">
        <f t="shared" si="13"/>
        <v>Repeat</v>
      </c>
    </row>
    <row r="425" spans="1:19" ht="15" customHeight="1" x14ac:dyDescent="0.3">
      <c r="A425">
        <v>424</v>
      </c>
      <c r="B425" t="s">
        <v>729</v>
      </c>
      <c r="C425">
        <v>2659259</v>
      </c>
      <c r="D425" t="s">
        <v>114</v>
      </c>
      <c r="E425">
        <v>21</v>
      </c>
      <c r="F425" t="s">
        <v>75</v>
      </c>
      <c r="G425" s="10">
        <v>45308</v>
      </c>
      <c r="H425" t="s">
        <v>37</v>
      </c>
      <c r="I425" t="s">
        <v>82</v>
      </c>
      <c r="J425" t="s">
        <v>47</v>
      </c>
      <c r="K425" t="s">
        <v>115</v>
      </c>
      <c r="L425" t="s">
        <v>60</v>
      </c>
      <c r="M425" t="s">
        <v>122</v>
      </c>
      <c r="N425">
        <v>9</v>
      </c>
      <c r="O425" t="s">
        <v>117</v>
      </c>
      <c r="P425" s="11">
        <v>6500</v>
      </c>
      <c r="Q425" t="s">
        <v>601</v>
      </c>
      <c r="R425" s="11">
        <f t="shared" si="12"/>
        <v>6500</v>
      </c>
      <c r="S425" t="str">
        <f t="shared" si="13"/>
        <v>Repeat</v>
      </c>
    </row>
    <row r="426" spans="1:19" ht="15" customHeight="1" x14ac:dyDescent="0.3">
      <c r="A426">
        <v>425</v>
      </c>
      <c r="B426" t="s">
        <v>730</v>
      </c>
      <c r="C426">
        <v>305106</v>
      </c>
      <c r="D426" t="s">
        <v>114</v>
      </c>
      <c r="E426">
        <v>43</v>
      </c>
      <c r="F426" t="s">
        <v>76</v>
      </c>
      <c r="G426" s="10">
        <v>45309</v>
      </c>
      <c r="H426" t="s">
        <v>37</v>
      </c>
      <c r="I426" t="s">
        <v>82</v>
      </c>
      <c r="J426" t="s">
        <v>47</v>
      </c>
      <c r="K426" t="s">
        <v>115</v>
      </c>
      <c r="L426" t="s">
        <v>60</v>
      </c>
      <c r="M426" t="s">
        <v>122</v>
      </c>
      <c r="N426">
        <v>7</v>
      </c>
      <c r="O426" t="s">
        <v>117</v>
      </c>
      <c r="P426" s="11">
        <v>6500</v>
      </c>
      <c r="Q426" t="s">
        <v>64</v>
      </c>
      <c r="R426" s="11">
        <f t="shared" si="12"/>
        <v>6500</v>
      </c>
      <c r="S426" t="str">
        <f t="shared" si="13"/>
        <v>One-Time</v>
      </c>
    </row>
    <row r="427" spans="1:19" ht="15" customHeight="1" x14ac:dyDescent="0.3">
      <c r="A427">
        <v>426</v>
      </c>
      <c r="B427" t="s">
        <v>731</v>
      </c>
      <c r="C427">
        <v>5678500</v>
      </c>
      <c r="D427" t="s">
        <v>114</v>
      </c>
      <c r="E427">
        <v>42</v>
      </c>
      <c r="F427" t="s">
        <v>76</v>
      </c>
      <c r="G427" s="10">
        <v>45310</v>
      </c>
      <c r="H427" t="s">
        <v>37</v>
      </c>
      <c r="I427" t="s">
        <v>82</v>
      </c>
      <c r="J427" t="s">
        <v>47</v>
      </c>
      <c r="K427" t="s">
        <v>115</v>
      </c>
      <c r="L427" t="s">
        <v>60</v>
      </c>
      <c r="M427" t="s">
        <v>122</v>
      </c>
      <c r="N427">
        <v>6</v>
      </c>
      <c r="O427" t="s">
        <v>117</v>
      </c>
      <c r="P427" s="11">
        <v>6500</v>
      </c>
      <c r="Q427" t="s">
        <v>62</v>
      </c>
      <c r="R427" s="11">
        <f t="shared" si="12"/>
        <v>6500</v>
      </c>
      <c r="S427" t="str">
        <f t="shared" si="13"/>
        <v>One-Time</v>
      </c>
    </row>
    <row r="428" spans="1:19" ht="15" customHeight="1" x14ac:dyDescent="0.3">
      <c r="A428">
        <v>427</v>
      </c>
      <c r="B428" t="s">
        <v>732</v>
      </c>
      <c r="C428">
        <v>3697381</v>
      </c>
      <c r="D428" t="s">
        <v>114</v>
      </c>
      <c r="E428">
        <v>43</v>
      </c>
      <c r="F428" t="s">
        <v>76</v>
      </c>
      <c r="G428" s="10">
        <v>45326</v>
      </c>
      <c r="H428" t="s">
        <v>38</v>
      </c>
      <c r="I428" t="s">
        <v>85</v>
      </c>
      <c r="J428" t="s">
        <v>47</v>
      </c>
      <c r="K428" t="s">
        <v>115</v>
      </c>
      <c r="L428" t="s">
        <v>60</v>
      </c>
      <c r="M428" t="s">
        <v>122</v>
      </c>
      <c r="N428">
        <v>2</v>
      </c>
      <c r="O428" t="s">
        <v>117</v>
      </c>
      <c r="P428" s="11">
        <v>6500</v>
      </c>
      <c r="Q428" t="s">
        <v>62</v>
      </c>
      <c r="R428" s="11">
        <f t="shared" si="12"/>
        <v>0</v>
      </c>
      <c r="S428" t="str">
        <f t="shared" si="13"/>
        <v>One-Time</v>
      </c>
    </row>
    <row r="429" spans="1:19" ht="15" customHeight="1" x14ac:dyDescent="0.3">
      <c r="A429">
        <v>428</v>
      </c>
      <c r="B429" t="s">
        <v>733</v>
      </c>
      <c r="C429">
        <v>8129717</v>
      </c>
      <c r="D429" t="s">
        <v>114</v>
      </c>
      <c r="E429">
        <v>48</v>
      </c>
      <c r="F429" t="s">
        <v>76</v>
      </c>
      <c r="G429" s="10">
        <v>45326</v>
      </c>
      <c r="H429" t="s">
        <v>38</v>
      </c>
      <c r="I429" t="s">
        <v>82</v>
      </c>
      <c r="J429" t="s">
        <v>47</v>
      </c>
      <c r="K429" t="s">
        <v>115</v>
      </c>
      <c r="L429" t="s">
        <v>60</v>
      </c>
      <c r="M429" t="s">
        <v>122</v>
      </c>
      <c r="N429">
        <v>8</v>
      </c>
      <c r="O429" t="s">
        <v>117</v>
      </c>
      <c r="P429" s="11">
        <v>7500</v>
      </c>
      <c r="Q429" t="s">
        <v>136</v>
      </c>
      <c r="R429" s="11">
        <f t="shared" si="12"/>
        <v>7500</v>
      </c>
      <c r="S429" t="str">
        <f t="shared" si="13"/>
        <v>One-Time</v>
      </c>
    </row>
    <row r="430" spans="1:19" ht="15" customHeight="1" x14ac:dyDescent="0.3">
      <c r="A430">
        <v>429</v>
      </c>
      <c r="B430" t="s">
        <v>734</v>
      </c>
      <c r="C430">
        <v>3833087</v>
      </c>
      <c r="D430" t="s">
        <v>114</v>
      </c>
      <c r="E430">
        <v>60</v>
      </c>
      <c r="F430" t="s">
        <v>77</v>
      </c>
      <c r="G430" s="10">
        <v>45326</v>
      </c>
      <c r="H430" t="s">
        <v>38</v>
      </c>
      <c r="I430" t="s">
        <v>82</v>
      </c>
      <c r="J430" t="s">
        <v>47</v>
      </c>
      <c r="K430" t="s">
        <v>138</v>
      </c>
      <c r="L430" t="s">
        <v>60</v>
      </c>
      <c r="M430" t="s">
        <v>122</v>
      </c>
      <c r="N430">
        <v>4</v>
      </c>
      <c r="O430" t="s">
        <v>117</v>
      </c>
      <c r="P430" s="11">
        <v>7500</v>
      </c>
      <c r="Q430" t="s">
        <v>62</v>
      </c>
      <c r="R430" s="11">
        <f t="shared" si="12"/>
        <v>7500</v>
      </c>
      <c r="S430" t="str">
        <f t="shared" si="13"/>
        <v>One-Time</v>
      </c>
    </row>
    <row r="431" spans="1:19" ht="15" customHeight="1" x14ac:dyDescent="0.3">
      <c r="A431">
        <v>430</v>
      </c>
      <c r="B431" t="s">
        <v>735</v>
      </c>
      <c r="C431">
        <v>1274138</v>
      </c>
      <c r="D431" t="s">
        <v>114</v>
      </c>
      <c r="E431">
        <v>74</v>
      </c>
      <c r="F431" t="s">
        <v>77</v>
      </c>
      <c r="G431" s="10">
        <v>45326</v>
      </c>
      <c r="H431" t="s">
        <v>38</v>
      </c>
      <c r="I431" t="s">
        <v>82</v>
      </c>
      <c r="J431" t="s">
        <v>47</v>
      </c>
      <c r="K431" t="s">
        <v>138</v>
      </c>
      <c r="L431" t="s">
        <v>60</v>
      </c>
      <c r="M431" t="s">
        <v>122</v>
      </c>
      <c r="N431">
        <v>6</v>
      </c>
      <c r="O431" t="s">
        <v>117</v>
      </c>
      <c r="P431" s="11">
        <v>7500</v>
      </c>
      <c r="Q431" t="s">
        <v>298</v>
      </c>
      <c r="R431" s="11">
        <f t="shared" si="12"/>
        <v>7500</v>
      </c>
      <c r="S431" t="str">
        <f t="shared" si="13"/>
        <v>One-Time</v>
      </c>
    </row>
    <row r="432" spans="1:19" ht="15" customHeight="1" x14ac:dyDescent="0.3">
      <c r="A432">
        <v>431</v>
      </c>
      <c r="B432" t="s">
        <v>736</v>
      </c>
      <c r="C432">
        <v>9198525</v>
      </c>
      <c r="D432" t="s">
        <v>114</v>
      </c>
      <c r="E432">
        <v>26</v>
      </c>
      <c r="F432" t="s">
        <v>75</v>
      </c>
      <c r="G432" s="10">
        <v>45326</v>
      </c>
      <c r="H432" t="s">
        <v>38</v>
      </c>
      <c r="I432" t="s">
        <v>82</v>
      </c>
      <c r="J432" t="s">
        <v>47</v>
      </c>
      <c r="K432" t="s">
        <v>138</v>
      </c>
      <c r="L432" t="s">
        <v>60</v>
      </c>
      <c r="M432" t="s">
        <v>122</v>
      </c>
      <c r="N432">
        <v>5</v>
      </c>
      <c r="O432" t="s">
        <v>117</v>
      </c>
      <c r="P432" s="11">
        <v>7500</v>
      </c>
      <c r="Q432" t="s">
        <v>66</v>
      </c>
      <c r="R432" s="11">
        <f t="shared" si="12"/>
        <v>7500</v>
      </c>
      <c r="S432" t="str">
        <f t="shared" si="13"/>
        <v>One-Time</v>
      </c>
    </row>
    <row r="433" spans="1:19" ht="15" customHeight="1" x14ac:dyDescent="0.3">
      <c r="A433">
        <v>432</v>
      </c>
      <c r="B433" t="s">
        <v>737</v>
      </c>
      <c r="C433">
        <v>7457952</v>
      </c>
      <c r="D433" t="s">
        <v>114</v>
      </c>
      <c r="E433">
        <v>39</v>
      </c>
      <c r="F433" t="s">
        <v>76</v>
      </c>
      <c r="G433" s="10">
        <v>45326</v>
      </c>
      <c r="H433" t="s">
        <v>38</v>
      </c>
      <c r="I433" t="s">
        <v>82</v>
      </c>
      <c r="J433" t="s">
        <v>47</v>
      </c>
      <c r="K433" t="s">
        <v>138</v>
      </c>
      <c r="L433" t="s">
        <v>60</v>
      </c>
      <c r="M433" t="s">
        <v>122</v>
      </c>
      <c r="N433">
        <v>23</v>
      </c>
      <c r="O433" t="s">
        <v>117</v>
      </c>
      <c r="P433" s="11">
        <v>7500</v>
      </c>
      <c r="Q433" t="s">
        <v>62</v>
      </c>
      <c r="R433" s="11">
        <f t="shared" si="12"/>
        <v>7500</v>
      </c>
      <c r="S433" t="str">
        <f t="shared" si="13"/>
        <v>One-Time</v>
      </c>
    </row>
    <row r="434" spans="1:19" ht="15" customHeight="1" x14ac:dyDescent="0.3">
      <c r="A434">
        <v>433</v>
      </c>
      <c r="B434" t="s">
        <v>738</v>
      </c>
      <c r="C434">
        <v>7699990</v>
      </c>
      <c r="D434" t="s">
        <v>392</v>
      </c>
      <c r="E434">
        <v>41</v>
      </c>
      <c r="F434" t="s">
        <v>76</v>
      </c>
      <c r="G434" s="10">
        <v>45326</v>
      </c>
      <c r="H434" t="s">
        <v>38</v>
      </c>
      <c r="I434" t="s">
        <v>82</v>
      </c>
      <c r="J434" t="s">
        <v>47</v>
      </c>
      <c r="K434" t="s">
        <v>138</v>
      </c>
      <c r="L434" t="s">
        <v>60</v>
      </c>
      <c r="M434" t="s">
        <v>122</v>
      </c>
      <c r="N434">
        <v>2</v>
      </c>
      <c r="O434" t="s">
        <v>117</v>
      </c>
      <c r="P434" s="11">
        <v>7500</v>
      </c>
      <c r="Q434" t="s">
        <v>65</v>
      </c>
      <c r="R434" s="11">
        <f t="shared" si="12"/>
        <v>7500</v>
      </c>
      <c r="S434" t="str">
        <f t="shared" si="13"/>
        <v>One-Time</v>
      </c>
    </row>
    <row r="435" spans="1:19" ht="15" customHeight="1" x14ac:dyDescent="0.3">
      <c r="A435">
        <v>434</v>
      </c>
      <c r="B435" t="s">
        <v>739</v>
      </c>
      <c r="C435">
        <v>6424721</v>
      </c>
      <c r="D435" t="s">
        <v>114</v>
      </c>
      <c r="E435">
        <v>77</v>
      </c>
      <c r="F435" t="s">
        <v>77</v>
      </c>
      <c r="G435" s="10">
        <v>45326</v>
      </c>
      <c r="H435" t="s">
        <v>38</v>
      </c>
      <c r="I435" t="s">
        <v>82</v>
      </c>
      <c r="J435" t="s">
        <v>47</v>
      </c>
      <c r="K435" t="s">
        <v>138</v>
      </c>
      <c r="L435" t="s">
        <v>60</v>
      </c>
      <c r="M435" t="s">
        <v>122</v>
      </c>
      <c r="N435">
        <v>5</v>
      </c>
      <c r="O435" t="s">
        <v>117</v>
      </c>
      <c r="P435" s="11">
        <v>7500</v>
      </c>
      <c r="Q435" t="s">
        <v>740</v>
      </c>
      <c r="R435" s="11">
        <f t="shared" si="12"/>
        <v>7500</v>
      </c>
      <c r="S435" t="str">
        <f t="shared" si="13"/>
        <v>One-Time</v>
      </c>
    </row>
    <row r="436" spans="1:19" ht="15" customHeight="1" x14ac:dyDescent="0.3">
      <c r="A436">
        <v>435</v>
      </c>
      <c r="B436" t="s">
        <v>741</v>
      </c>
      <c r="C436">
        <v>2944289</v>
      </c>
      <c r="D436" t="s">
        <v>392</v>
      </c>
      <c r="E436">
        <v>19</v>
      </c>
      <c r="F436" t="s">
        <v>75</v>
      </c>
      <c r="G436" s="10">
        <v>45326</v>
      </c>
      <c r="H436" t="s">
        <v>38</v>
      </c>
      <c r="I436" t="s">
        <v>82</v>
      </c>
      <c r="J436" t="s">
        <v>47</v>
      </c>
      <c r="K436" t="s">
        <v>138</v>
      </c>
      <c r="L436" t="s">
        <v>60</v>
      </c>
      <c r="M436" t="s">
        <v>122</v>
      </c>
      <c r="N436">
        <v>9</v>
      </c>
      <c r="O436" t="s">
        <v>117</v>
      </c>
      <c r="P436" s="11">
        <v>7500</v>
      </c>
      <c r="Q436" t="s">
        <v>742</v>
      </c>
      <c r="R436" s="11">
        <f t="shared" si="12"/>
        <v>7500</v>
      </c>
      <c r="S436" t="str">
        <f t="shared" si="13"/>
        <v>One-Time</v>
      </c>
    </row>
    <row r="437" spans="1:19" ht="15" customHeight="1" x14ac:dyDescent="0.3">
      <c r="A437">
        <v>436</v>
      </c>
      <c r="B437" t="s">
        <v>743</v>
      </c>
      <c r="C437">
        <v>2792923</v>
      </c>
      <c r="D437" t="s">
        <v>392</v>
      </c>
      <c r="E437">
        <v>24</v>
      </c>
      <c r="F437" t="s">
        <v>75</v>
      </c>
      <c r="G437" s="10">
        <v>45326</v>
      </c>
      <c r="H437" t="s">
        <v>38</v>
      </c>
      <c r="I437" t="s">
        <v>82</v>
      </c>
      <c r="J437" t="s">
        <v>47</v>
      </c>
      <c r="K437" t="s">
        <v>138</v>
      </c>
      <c r="L437" t="s">
        <v>60</v>
      </c>
      <c r="M437" t="s">
        <v>122</v>
      </c>
      <c r="N437">
        <v>27</v>
      </c>
      <c r="O437" t="s">
        <v>117</v>
      </c>
      <c r="P437" s="11">
        <v>5800</v>
      </c>
      <c r="Q437" t="s">
        <v>62</v>
      </c>
      <c r="R437" s="11">
        <f t="shared" si="12"/>
        <v>5800</v>
      </c>
      <c r="S437" t="str">
        <f t="shared" si="13"/>
        <v>One-Time</v>
      </c>
    </row>
    <row r="438" spans="1:19" ht="15" customHeight="1" x14ac:dyDescent="0.3">
      <c r="A438">
        <v>437</v>
      </c>
      <c r="B438" t="s">
        <v>744</v>
      </c>
      <c r="C438">
        <v>3320475</v>
      </c>
      <c r="D438" t="s">
        <v>392</v>
      </c>
      <c r="E438">
        <v>39</v>
      </c>
      <c r="F438" t="s">
        <v>76</v>
      </c>
      <c r="G438" s="10">
        <v>45326</v>
      </c>
      <c r="H438" t="s">
        <v>38</v>
      </c>
      <c r="I438" t="s">
        <v>82</v>
      </c>
      <c r="J438" t="s">
        <v>47</v>
      </c>
      <c r="K438" t="s">
        <v>138</v>
      </c>
      <c r="L438" t="s">
        <v>60</v>
      </c>
      <c r="M438" t="s">
        <v>122</v>
      </c>
      <c r="N438">
        <v>6</v>
      </c>
      <c r="O438" t="s">
        <v>117</v>
      </c>
      <c r="P438" s="11">
        <v>5800</v>
      </c>
      <c r="Q438" t="s">
        <v>155</v>
      </c>
      <c r="R438" s="11">
        <f t="shared" si="12"/>
        <v>5800</v>
      </c>
      <c r="S438" t="str">
        <f t="shared" si="13"/>
        <v>One-Time</v>
      </c>
    </row>
    <row r="439" spans="1:19" ht="15" customHeight="1" x14ac:dyDescent="0.3">
      <c r="A439">
        <v>438</v>
      </c>
      <c r="B439" t="s">
        <v>745</v>
      </c>
      <c r="C439">
        <v>8953982</v>
      </c>
      <c r="D439" t="s">
        <v>114</v>
      </c>
      <c r="E439">
        <v>31</v>
      </c>
      <c r="F439" t="s">
        <v>76</v>
      </c>
      <c r="G439" s="10">
        <v>45326</v>
      </c>
      <c r="H439" t="s">
        <v>38</v>
      </c>
      <c r="I439" t="s">
        <v>82</v>
      </c>
      <c r="J439" t="s">
        <v>47</v>
      </c>
      <c r="K439" t="s">
        <v>138</v>
      </c>
      <c r="L439" t="s">
        <v>60</v>
      </c>
      <c r="M439" t="s">
        <v>122</v>
      </c>
      <c r="N439">
        <v>6</v>
      </c>
      <c r="O439" t="s">
        <v>117</v>
      </c>
      <c r="P439" s="11">
        <v>5800</v>
      </c>
      <c r="Q439" t="s">
        <v>746</v>
      </c>
      <c r="R439" s="11">
        <f t="shared" si="12"/>
        <v>5800</v>
      </c>
      <c r="S439" t="str">
        <f t="shared" si="13"/>
        <v>One-Time</v>
      </c>
    </row>
    <row r="440" spans="1:19" ht="15" customHeight="1" x14ac:dyDescent="0.3">
      <c r="A440">
        <v>439</v>
      </c>
      <c r="B440" t="s">
        <v>747</v>
      </c>
      <c r="C440">
        <v>6114234</v>
      </c>
      <c r="D440" t="s">
        <v>392</v>
      </c>
      <c r="E440">
        <v>61</v>
      </c>
      <c r="F440" t="s">
        <v>77</v>
      </c>
      <c r="G440" s="10">
        <v>45326</v>
      </c>
      <c r="H440" t="s">
        <v>38</v>
      </c>
      <c r="I440" t="s">
        <v>82</v>
      </c>
      <c r="J440" t="s">
        <v>47</v>
      </c>
      <c r="K440" t="s">
        <v>138</v>
      </c>
      <c r="L440" t="s">
        <v>60</v>
      </c>
      <c r="M440" t="s">
        <v>122</v>
      </c>
      <c r="N440">
        <v>2</v>
      </c>
      <c r="O440" t="s">
        <v>117</v>
      </c>
      <c r="P440" s="11">
        <v>5800</v>
      </c>
      <c r="Q440" t="s">
        <v>300</v>
      </c>
      <c r="R440" s="11">
        <f t="shared" si="12"/>
        <v>5800</v>
      </c>
      <c r="S440" t="str">
        <f t="shared" si="13"/>
        <v>One-Time</v>
      </c>
    </row>
    <row r="441" spans="1:19" ht="15" customHeight="1" x14ac:dyDescent="0.3">
      <c r="A441">
        <v>440</v>
      </c>
      <c r="B441" t="s">
        <v>748</v>
      </c>
      <c r="C441">
        <v>5161481</v>
      </c>
      <c r="D441" t="s">
        <v>114</v>
      </c>
      <c r="E441">
        <v>57</v>
      </c>
      <c r="F441" t="s">
        <v>77</v>
      </c>
      <c r="G441" s="10">
        <v>45326</v>
      </c>
      <c r="H441" t="s">
        <v>38</v>
      </c>
      <c r="I441" t="s">
        <v>82</v>
      </c>
      <c r="J441" t="s">
        <v>47</v>
      </c>
      <c r="K441" t="s">
        <v>138</v>
      </c>
      <c r="L441" t="s">
        <v>60</v>
      </c>
      <c r="M441" t="s">
        <v>122</v>
      </c>
      <c r="N441">
        <v>32</v>
      </c>
      <c r="O441" t="s">
        <v>117</v>
      </c>
      <c r="P441" s="11">
        <v>5800</v>
      </c>
      <c r="Q441" t="s">
        <v>749</v>
      </c>
      <c r="R441" s="11">
        <f t="shared" si="12"/>
        <v>5800</v>
      </c>
      <c r="S441" t="str">
        <f t="shared" si="13"/>
        <v>One-Time</v>
      </c>
    </row>
    <row r="442" spans="1:19" ht="15" customHeight="1" x14ac:dyDescent="0.3">
      <c r="A442">
        <v>441</v>
      </c>
      <c r="B442" t="s">
        <v>750</v>
      </c>
      <c r="C442">
        <v>3592356</v>
      </c>
      <c r="D442" t="s">
        <v>392</v>
      </c>
      <c r="E442">
        <v>18</v>
      </c>
      <c r="F442" t="s">
        <v>75</v>
      </c>
      <c r="G442" s="10">
        <v>45326</v>
      </c>
      <c r="H442" t="s">
        <v>38</v>
      </c>
      <c r="I442" t="s">
        <v>82</v>
      </c>
      <c r="J442" t="s">
        <v>47</v>
      </c>
      <c r="K442" t="s">
        <v>138</v>
      </c>
      <c r="L442" t="s">
        <v>60</v>
      </c>
      <c r="M442" t="s">
        <v>122</v>
      </c>
      <c r="N442">
        <v>3</v>
      </c>
      <c r="O442" t="s">
        <v>117</v>
      </c>
      <c r="P442" s="11">
        <v>5800</v>
      </c>
      <c r="Q442" t="s">
        <v>62</v>
      </c>
      <c r="R442" s="11">
        <f t="shared" si="12"/>
        <v>5800</v>
      </c>
      <c r="S442" t="str">
        <f t="shared" si="13"/>
        <v>One-Time</v>
      </c>
    </row>
    <row r="443" spans="1:19" ht="15" customHeight="1" x14ac:dyDescent="0.3">
      <c r="A443">
        <v>442</v>
      </c>
      <c r="B443" t="s">
        <v>751</v>
      </c>
      <c r="C443">
        <v>2156012</v>
      </c>
      <c r="D443" t="s">
        <v>392</v>
      </c>
      <c r="E443">
        <v>37</v>
      </c>
      <c r="F443" t="s">
        <v>76</v>
      </c>
      <c r="G443" s="10">
        <v>45326</v>
      </c>
      <c r="H443" t="s">
        <v>38</v>
      </c>
      <c r="I443" t="s">
        <v>82</v>
      </c>
      <c r="J443" t="s">
        <v>47</v>
      </c>
      <c r="K443" t="s">
        <v>138</v>
      </c>
      <c r="L443" t="s">
        <v>60</v>
      </c>
      <c r="M443" t="s">
        <v>122</v>
      </c>
      <c r="N443">
        <v>48</v>
      </c>
      <c r="O443" t="s">
        <v>117</v>
      </c>
      <c r="P443" s="11">
        <v>5500</v>
      </c>
      <c r="Q443" t="s">
        <v>62</v>
      </c>
      <c r="R443" s="11">
        <f t="shared" si="12"/>
        <v>5500</v>
      </c>
      <c r="S443" t="str">
        <f t="shared" si="13"/>
        <v>One-Time</v>
      </c>
    </row>
    <row r="444" spans="1:19" ht="15" customHeight="1" x14ac:dyDescent="0.3">
      <c r="A444">
        <v>443</v>
      </c>
      <c r="B444" t="s">
        <v>752</v>
      </c>
      <c r="C444">
        <v>7763289</v>
      </c>
      <c r="D444" t="s">
        <v>114</v>
      </c>
      <c r="E444">
        <v>19</v>
      </c>
      <c r="F444" t="s">
        <v>75</v>
      </c>
      <c r="G444" s="10">
        <v>45326</v>
      </c>
      <c r="H444" t="s">
        <v>38</v>
      </c>
      <c r="I444" t="s">
        <v>82</v>
      </c>
      <c r="J444" t="s">
        <v>47</v>
      </c>
      <c r="K444" t="s">
        <v>138</v>
      </c>
      <c r="L444" t="s">
        <v>60</v>
      </c>
      <c r="M444" t="s">
        <v>122</v>
      </c>
      <c r="N444">
        <v>5</v>
      </c>
      <c r="O444" t="s">
        <v>117</v>
      </c>
      <c r="P444" s="11">
        <v>5500</v>
      </c>
      <c r="Q444" t="s">
        <v>64</v>
      </c>
      <c r="R444" s="11">
        <f t="shared" si="12"/>
        <v>5500</v>
      </c>
      <c r="S444" t="str">
        <f t="shared" si="13"/>
        <v>One-Time</v>
      </c>
    </row>
    <row r="445" spans="1:19" ht="15" customHeight="1" x14ac:dyDescent="0.3">
      <c r="A445">
        <v>444</v>
      </c>
      <c r="B445" t="s">
        <v>753</v>
      </c>
      <c r="C445">
        <v>4103369</v>
      </c>
      <c r="D445" t="s">
        <v>392</v>
      </c>
      <c r="E445">
        <v>38</v>
      </c>
      <c r="F445" t="s">
        <v>76</v>
      </c>
      <c r="G445" s="10">
        <v>45326</v>
      </c>
      <c r="H445" t="s">
        <v>38</v>
      </c>
      <c r="I445" t="s">
        <v>82</v>
      </c>
      <c r="J445" t="s">
        <v>47</v>
      </c>
      <c r="K445" t="s">
        <v>138</v>
      </c>
      <c r="L445" t="s">
        <v>60</v>
      </c>
      <c r="M445" t="s">
        <v>122</v>
      </c>
      <c r="N445">
        <v>2</v>
      </c>
      <c r="O445" t="s">
        <v>117</v>
      </c>
      <c r="P445" s="11">
        <v>5500</v>
      </c>
      <c r="Q445" t="s">
        <v>64</v>
      </c>
      <c r="R445" s="11">
        <f t="shared" si="12"/>
        <v>5500</v>
      </c>
      <c r="S445" t="str">
        <f t="shared" si="13"/>
        <v>One-Time</v>
      </c>
    </row>
    <row r="446" spans="1:19" ht="15" customHeight="1" x14ac:dyDescent="0.3">
      <c r="A446">
        <v>445</v>
      </c>
      <c r="B446" t="s">
        <v>754</v>
      </c>
      <c r="C446">
        <v>443362</v>
      </c>
      <c r="D446" t="s">
        <v>392</v>
      </c>
      <c r="E446">
        <v>26</v>
      </c>
      <c r="F446" t="s">
        <v>75</v>
      </c>
      <c r="G446" s="10">
        <v>45326</v>
      </c>
      <c r="H446" t="s">
        <v>38</v>
      </c>
      <c r="I446" t="s">
        <v>84</v>
      </c>
      <c r="J446" t="s">
        <v>47</v>
      </c>
      <c r="K446" t="s">
        <v>184</v>
      </c>
      <c r="L446" t="s">
        <v>60</v>
      </c>
      <c r="M446" t="s">
        <v>122</v>
      </c>
      <c r="N446">
        <v>9</v>
      </c>
      <c r="O446" t="s">
        <v>117</v>
      </c>
      <c r="P446" s="11">
        <v>5500</v>
      </c>
      <c r="Q446" t="s">
        <v>755</v>
      </c>
      <c r="R446" s="11">
        <f t="shared" si="12"/>
        <v>0</v>
      </c>
      <c r="S446" t="str">
        <f t="shared" si="13"/>
        <v>One-Time</v>
      </c>
    </row>
    <row r="447" spans="1:19" ht="15" customHeight="1" x14ac:dyDescent="0.3">
      <c r="A447">
        <v>446</v>
      </c>
      <c r="B447" t="s">
        <v>756</v>
      </c>
      <c r="C447">
        <v>6267284</v>
      </c>
      <c r="D447" t="s">
        <v>392</v>
      </c>
      <c r="E447">
        <v>41</v>
      </c>
      <c r="F447" t="s">
        <v>76</v>
      </c>
      <c r="G447" s="10">
        <v>45326</v>
      </c>
      <c r="H447" t="s">
        <v>38</v>
      </c>
      <c r="I447" t="s">
        <v>82</v>
      </c>
      <c r="J447" t="s">
        <v>47</v>
      </c>
      <c r="K447" t="s">
        <v>184</v>
      </c>
      <c r="L447" t="s">
        <v>60</v>
      </c>
      <c r="M447" t="s">
        <v>122</v>
      </c>
      <c r="N447">
        <v>7</v>
      </c>
      <c r="O447" t="s">
        <v>117</v>
      </c>
      <c r="P447" s="11">
        <v>5500</v>
      </c>
      <c r="Q447" t="s">
        <v>757</v>
      </c>
      <c r="R447" s="11">
        <f t="shared" si="12"/>
        <v>5500</v>
      </c>
      <c r="S447" t="str">
        <f t="shared" si="13"/>
        <v>One-Time</v>
      </c>
    </row>
    <row r="448" spans="1:19" ht="15" customHeight="1" x14ac:dyDescent="0.3">
      <c r="A448">
        <v>447</v>
      </c>
      <c r="B448" t="s">
        <v>758</v>
      </c>
      <c r="C448">
        <v>4684341</v>
      </c>
      <c r="D448" t="s">
        <v>392</v>
      </c>
      <c r="E448">
        <v>54</v>
      </c>
      <c r="F448" t="s">
        <v>77</v>
      </c>
      <c r="G448" s="10">
        <v>45326</v>
      </c>
      <c r="H448" t="s">
        <v>38</v>
      </c>
      <c r="I448" t="s">
        <v>82</v>
      </c>
      <c r="J448" t="s">
        <v>47</v>
      </c>
      <c r="K448" t="s">
        <v>184</v>
      </c>
      <c r="L448" t="s">
        <v>60</v>
      </c>
      <c r="M448" t="s">
        <v>122</v>
      </c>
      <c r="N448">
        <v>2</v>
      </c>
      <c r="O448" t="s">
        <v>117</v>
      </c>
      <c r="P448" s="11">
        <v>6000</v>
      </c>
      <c r="Q448" t="s">
        <v>313</v>
      </c>
      <c r="R448" s="11">
        <f t="shared" si="12"/>
        <v>6000</v>
      </c>
      <c r="S448" t="str">
        <f t="shared" si="13"/>
        <v>One-Time</v>
      </c>
    </row>
    <row r="449" spans="1:19" ht="15" customHeight="1" x14ac:dyDescent="0.3">
      <c r="A449">
        <v>448</v>
      </c>
      <c r="B449" t="s">
        <v>759</v>
      </c>
      <c r="C449">
        <v>6359794</v>
      </c>
      <c r="D449" t="s">
        <v>392</v>
      </c>
      <c r="E449">
        <v>25</v>
      </c>
      <c r="F449" t="s">
        <v>75</v>
      </c>
      <c r="G449" s="10">
        <v>45326</v>
      </c>
      <c r="H449" t="s">
        <v>38</v>
      </c>
      <c r="I449" t="s">
        <v>82</v>
      </c>
      <c r="J449" t="s">
        <v>47</v>
      </c>
      <c r="K449" t="s">
        <v>184</v>
      </c>
      <c r="L449" t="s">
        <v>60</v>
      </c>
      <c r="M449" t="s">
        <v>122</v>
      </c>
      <c r="N449">
        <v>8</v>
      </c>
      <c r="O449" t="s">
        <v>117</v>
      </c>
      <c r="P449" s="11">
        <v>6000</v>
      </c>
      <c r="Q449" t="s">
        <v>63</v>
      </c>
      <c r="R449" s="11">
        <f t="shared" si="12"/>
        <v>6000</v>
      </c>
      <c r="S449" t="str">
        <f t="shared" si="13"/>
        <v>One-Time</v>
      </c>
    </row>
    <row r="450" spans="1:19" ht="15" customHeight="1" x14ac:dyDescent="0.3">
      <c r="A450">
        <v>449</v>
      </c>
      <c r="B450" t="s">
        <v>760</v>
      </c>
      <c r="C450">
        <v>585668</v>
      </c>
      <c r="D450" t="s">
        <v>114</v>
      </c>
      <c r="E450">
        <v>46</v>
      </c>
      <c r="F450" t="s">
        <v>76</v>
      </c>
      <c r="G450" s="10">
        <v>45326</v>
      </c>
      <c r="H450" t="s">
        <v>38</v>
      </c>
      <c r="I450" t="s">
        <v>82</v>
      </c>
      <c r="J450" t="s">
        <v>47</v>
      </c>
      <c r="K450" t="s">
        <v>184</v>
      </c>
      <c r="L450" t="s">
        <v>60</v>
      </c>
      <c r="M450" t="s">
        <v>122</v>
      </c>
      <c r="N450">
        <v>4</v>
      </c>
      <c r="O450" t="s">
        <v>117</v>
      </c>
      <c r="P450" s="11">
        <v>6000</v>
      </c>
      <c r="Q450" t="s">
        <v>150</v>
      </c>
      <c r="R450" s="11">
        <f t="shared" ref="R450:R513" si="14">IF(I450="Delivered",P450,0)</f>
        <v>6000</v>
      </c>
      <c r="S450" t="str">
        <f t="shared" ref="S450:S513" si="15">IF(COUNTIF($C$2:$C$1501,C450)&gt;1,"Repeat","One-Time")</f>
        <v>One-Time</v>
      </c>
    </row>
    <row r="451" spans="1:19" ht="15" customHeight="1" x14ac:dyDescent="0.3">
      <c r="A451">
        <v>450</v>
      </c>
      <c r="B451" t="s">
        <v>761</v>
      </c>
      <c r="C451">
        <v>5140252</v>
      </c>
      <c r="D451" t="s">
        <v>392</v>
      </c>
      <c r="E451">
        <v>34</v>
      </c>
      <c r="F451" t="s">
        <v>76</v>
      </c>
      <c r="G451" s="10">
        <v>45326</v>
      </c>
      <c r="H451" t="s">
        <v>38</v>
      </c>
      <c r="I451" t="s">
        <v>83</v>
      </c>
      <c r="J451" t="s">
        <v>47</v>
      </c>
      <c r="K451" t="s">
        <v>184</v>
      </c>
      <c r="L451" t="s">
        <v>60</v>
      </c>
      <c r="M451" t="s">
        <v>122</v>
      </c>
      <c r="N451">
        <v>5</v>
      </c>
      <c r="O451" t="s">
        <v>117</v>
      </c>
      <c r="P451" s="11">
        <v>6000</v>
      </c>
      <c r="Q451" t="s">
        <v>524</v>
      </c>
      <c r="R451" s="11">
        <f t="shared" si="14"/>
        <v>0</v>
      </c>
      <c r="S451" t="str">
        <f t="shared" si="15"/>
        <v>One-Time</v>
      </c>
    </row>
    <row r="452" spans="1:19" ht="15" customHeight="1" x14ac:dyDescent="0.3">
      <c r="A452">
        <v>451</v>
      </c>
      <c r="B452" t="s">
        <v>762</v>
      </c>
      <c r="C452">
        <v>5694760</v>
      </c>
      <c r="D452" t="s">
        <v>392</v>
      </c>
      <c r="E452">
        <v>27</v>
      </c>
      <c r="F452" t="s">
        <v>75</v>
      </c>
      <c r="G452" s="10">
        <v>45326</v>
      </c>
      <c r="H452" t="s">
        <v>38</v>
      </c>
      <c r="I452" t="s">
        <v>82</v>
      </c>
      <c r="J452" t="s">
        <v>47</v>
      </c>
      <c r="K452" t="s">
        <v>184</v>
      </c>
      <c r="L452" t="s">
        <v>60</v>
      </c>
      <c r="M452" t="s">
        <v>122</v>
      </c>
      <c r="N452">
        <v>6</v>
      </c>
      <c r="O452" t="s">
        <v>117</v>
      </c>
      <c r="P452" s="11">
        <v>6000</v>
      </c>
      <c r="Q452" t="s">
        <v>66</v>
      </c>
      <c r="R452" s="11">
        <f t="shared" si="14"/>
        <v>6000</v>
      </c>
      <c r="S452" t="str">
        <f t="shared" si="15"/>
        <v>One-Time</v>
      </c>
    </row>
    <row r="453" spans="1:19" ht="15" customHeight="1" x14ac:dyDescent="0.3">
      <c r="A453">
        <v>452</v>
      </c>
      <c r="B453" t="s">
        <v>763</v>
      </c>
      <c r="C453">
        <v>823948</v>
      </c>
      <c r="D453" t="s">
        <v>392</v>
      </c>
      <c r="E453">
        <v>40</v>
      </c>
      <c r="F453" t="s">
        <v>76</v>
      </c>
      <c r="G453" s="10">
        <v>45326</v>
      </c>
      <c r="H453" t="s">
        <v>38</v>
      </c>
      <c r="I453" t="s">
        <v>82</v>
      </c>
      <c r="J453" t="s">
        <v>47</v>
      </c>
      <c r="K453" t="s">
        <v>184</v>
      </c>
      <c r="L453" t="s">
        <v>60</v>
      </c>
      <c r="M453" t="s">
        <v>122</v>
      </c>
      <c r="N453">
        <v>31</v>
      </c>
      <c r="O453" t="s">
        <v>117</v>
      </c>
      <c r="P453" s="11">
        <v>6000</v>
      </c>
      <c r="Q453" t="s">
        <v>66</v>
      </c>
      <c r="R453" s="11">
        <f t="shared" si="14"/>
        <v>6000</v>
      </c>
      <c r="S453" t="str">
        <f t="shared" si="15"/>
        <v>One-Time</v>
      </c>
    </row>
    <row r="454" spans="1:19" ht="15" customHeight="1" x14ac:dyDescent="0.3">
      <c r="A454">
        <v>453</v>
      </c>
      <c r="B454" t="s">
        <v>764</v>
      </c>
      <c r="C454">
        <v>8869312</v>
      </c>
      <c r="D454" t="s">
        <v>392</v>
      </c>
      <c r="E454">
        <v>18</v>
      </c>
      <c r="F454" t="s">
        <v>75</v>
      </c>
      <c r="G454" s="10">
        <v>45326</v>
      </c>
      <c r="H454" t="s">
        <v>38</v>
      </c>
      <c r="I454" t="s">
        <v>82</v>
      </c>
      <c r="J454" t="s">
        <v>47</v>
      </c>
      <c r="K454" t="s">
        <v>184</v>
      </c>
      <c r="L454" t="s">
        <v>60</v>
      </c>
      <c r="M454" t="s">
        <v>122</v>
      </c>
      <c r="N454">
        <v>2</v>
      </c>
      <c r="O454" t="s">
        <v>117</v>
      </c>
      <c r="P454" s="11">
        <v>6000</v>
      </c>
      <c r="Q454" t="s">
        <v>684</v>
      </c>
      <c r="R454" s="11">
        <f t="shared" si="14"/>
        <v>6000</v>
      </c>
      <c r="S454" t="str">
        <f t="shared" si="15"/>
        <v>One-Time</v>
      </c>
    </row>
    <row r="455" spans="1:19" ht="15" customHeight="1" x14ac:dyDescent="0.3">
      <c r="A455">
        <v>454</v>
      </c>
      <c r="B455" t="s">
        <v>765</v>
      </c>
      <c r="C455">
        <v>395605</v>
      </c>
      <c r="D455" t="s">
        <v>392</v>
      </c>
      <c r="E455">
        <v>29</v>
      </c>
      <c r="F455" t="s">
        <v>75</v>
      </c>
      <c r="G455" s="10">
        <v>45326</v>
      </c>
      <c r="H455" t="s">
        <v>38</v>
      </c>
      <c r="I455" t="s">
        <v>82</v>
      </c>
      <c r="J455" t="s">
        <v>47</v>
      </c>
      <c r="K455" t="s">
        <v>184</v>
      </c>
      <c r="L455" t="s">
        <v>60</v>
      </c>
      <c r="M455" t="s">
        <v>315</v>
      </c>
      <c r="N455">
        <v>5</v>
      </c>
      <c r="O455" t="s">
        <v>117</v>
      </c>
      <c r="P455" s="11">
        <v>6000</v>
      </c>
      <c r="Q455" t="s">
        <v>64</v>
      </c>
      <c r="R455" s="11">
        <f t="shared" si="14"/>
        <v>6000</v>
      </c>
      <c r="S455" t="str">
        <f t="shared" si="15"/>
        <v>One-Time</v>
      </c>
    </row>
    <row r="456" spans="1:19" ht="15" customHeight="1" x14ac:dyDescent="0.3">
      <c r="A456">
        <v>455</v>
      </c>
      <c r="B456" t="s">
        <v>766</v>
      </c>
      <c r="C456">
        <v>6399089</v>
      </c>
      <c r="D456" t="s">
        <v>114</v>
      </c>
      <c r="E456">
        <v>25</v>
      </c>
      <c r="F456" t="s">
        <v>75</v>
      </c>
      <c r="G456" s="10">
        <v>45326</v>
      </c>
      <c r="H456" t="s">
        <v>38</v>
      </c>
      <c r="I456" t="s">
        <v>82</v>
      </c>
      <c r="J456" t="s">
        <v>47</v>
      </c>
      <c r="K456" t="s">
        <v>184</v>
      </c>
      <c r="L456" t="s">
        <v>60</v>
      </c>
      <c r="M456" t="s">
        <v>315</v>
      </c>
      <c r="N456">
        <v>5</v>
      </c>
      <c r="O456" t="s">
        <v>117</v>
      </c>
      <c r="P456" s="11">
        <v>6000</v>
      </c>
      <c r="Q456" t="s">
        <v>62</v>
      </c>
      <c r="R456" s="11">
        <f t="shared" si="14"/>
        <v>6000</v>
      </c>
      <c r="S456" t="str">
        <f t="shared" si="15"/>
        <v>One-Time</v>
      </c>
    </row>
    <row r="457" spans="1:19" ht="15" customHeight="1" x14ac:dyDescent="0.3">
      <c r="A457">
        <v>456</v>
      </c>
      <c r="B457" t="s">
        <v>767</v>
      </c>
      <c r="C457">
        <v>3884074</v>
      </c>
      <c r="D457" t="s">
        <v>114</v>
      </c>
      <c r="E457">
        <v>73</v>
      </c>
      <c r="F457" t="s">
        <v>77</v>
      </c>
      <c r="G457" s="10">
        <v>45326</v>
      </c>
      <c r="H457" t="s">
        <v>38</v>
      </c>
      <c r="I457" t="s">
        <v>82</v>
      </c>
      <c r="J457" t="s">
        <v>47</v>
      </c>
      <c r="K457" t="s">
        <v>184</v>
      </c>
      <c r="L457" t="s">
        <v>60</v>
      </c>
      <c r="M457" t="s">
        <v>315</v>
      </c>
      <c r="N457">
        <v>8</v>
      </c>
      <c r="O457" t="s">
        <v>117</v>
      </c>
      <c r="P457" s="11">
        <v>6000</v>
      </c>
      <c r="Q457" t="s">
        <v>294</v>
      </c>
      <c r="R457" s="11">
        <f t="shared" si="14"/>
        <v>6000</v>
      </c>
      <c r="S457" t="str">
        <f t="shared" si="15"/>
        <v>One-Time</v>
      </c>
    </row>
    <row r="458" spans="1:19" ht="15" customHeight="1" x14ac:dyDescent="0.3">
      <c r="A458">
        <v>457</v>
      </c>
      <c r="B458" t="s">
        <v>768</v>
      </c>
      <c r="C458">
        <v>7035656</v>
      </c>
      <c r="D458" t="s">
        <v>114</v>
      </c>
      <c r="E458">
        <v>18</v>
      </c>
      <c r="F458" t="s">
        <v>75</v>
      </c>
      <c r="G458" s="10">
        <v>45326</v>
      </c>
      <c r="H458" t="s">
        <v>38</v>
      </c>
      <c r="I458" t="s">
        <v>82</v>
      </c>
      <c r="J458" t="s">
        <v>47</v>
      </c>
      <c r="K458" t="s">
        <v>184</v>
      </c>
      <c r="L458" t="s">
        <v>60</v>
      </c>
      <c r="M458" t="s">
        <v>315</v>
      </c>
      <c r="N458">
        <v>9</v>
      </c>
      <c r="O458" t="s">
        <v>117</v>
      </c>
      <c r="P458" s="11">
        <v>6000</v>
      </c>
      <c r="Q458" t="s">
        <v>427</v>
      </c>
      <c r="R458" s="11">
        <f t="shared" si="14"/>
        <v>6000</v>
      </c>
      <c r="S458" t="str">
        <f t="shared" si="15"/>
        <v>One-Time</v>
      </c>
    </row>
    <row r="459" spans="1:19" ht="15" customHeight="1" x14ac:dyDescent="0.3">
      <c r="A459">
        <v>458</v>
      </c>
      <c r="B459" t="s">
        <v>769</v>
      </c>
      <c r="C459">
        <v>1229439</v>
      </c>
      <c r="D459" t="s">
        <v>114</v>
      </c>
      <c r="E459">
        <v>33</v>
      </c>
      <c r="F459" t="s">
        <v>76</v>
      </c>
      <c r="G459" s="10">
        <v>45326</v>
      </c>
      <c r="H459" t="s">
        <v>38</v>
      </c>
      <c r="I459" t="s">
        <v>82</v>
      </c>
      <c r="J459" t="s">
        <v>47</v>
      </c>
      <c r="K459" t="s">
        <v>184</v>
      </c>
      <c r="L459" t="s">
        <v>60</v>
      </c>
      <c r="M459" t="s">
        <v>315</v>
      </c>
      <c r="N459">
        <v>4</v>
      </c>
      <c r="O459" t="s">
        <v>117</v>
      </c>
      <c r="P459" s="11">
        <v>6000</v>
      </c>
      <c r="Q459" t="s">
        <v>62</v>
      </c>
      <c r="R459" s="11">
        <f t="shared" si="14"/>
        <v>6000</v>
      </c>
      <c r="S459" t="str">
        <f t="shared" si="15"/>
        <v>One-Time</v>
      </c>
    </row>
    <row r="460" spans="1:19" ht="15" customHeight="1" x14ac:dyDescent="0.3">
      <c r="A460">
        <v>459</v>
      </c>
      <c r="B460" t="s">
        <v>770</v>
      </c>
      <c r="C460">
        <v>4947593</v>
      </c>
      <c r="D460" t="s">
        <v>114</v>
      </c>
      <c r="E460">
        <v>29</v>
      </c>
      <c r="F460" t="s">
        <v>75</v>
      </c>
      <c r="G460" s="10">
        <v>45326</v>
      </c>
      <c r="H460" t="s">
        <v>38</v>
      </c>
      <c r="I460" t="s">
        <v>82</v>
      </c>
      <c r="J460" t="s">
        <v>47</v>
      </c>
      <c r="K460" t="s">
        <v>184</v>
      </c>
      <c r="L460" t="s">
        <v>60</v>
      </c>
      <c r="M460" t="s">
        <v>315</v>
      </c>
      <c r="N460">
        <v>7</v>
      </c>
      <c r="O460" t="s">
        <v>117</v>
      </c>
      <c r="P460" s="11">
        <v>6000</v>
      </c>
      <c r="Q460" t="s">
        <v>66</v>
      </c>
      <c r="R460" s="11">
        <f t="shared" si="14"/>
        <v>6000</v>
      </c>
      <c r="S460" t="str">
        <f t="shared" si="15"/>
        <v>One-Time</v>
      </c>
    </row>
    <row r="461" spans="1:19" ht="15" customHeight="1" x14ac:dyDescent="0.3">
      <c r="A461">
        <v>460</v>
      </c>
      <c r="B461" t="s">
        <v>771</v>
      </c>
      <c r="C461">
        <v>4491188</v>
      </c>
      <c r="D461" t="s">
        <v>114</v>
      </c>
      <c r="E461">
        <v>63</v>
      </c>
      <c r="F461" t="s">
        <v>77</v>
      </c>
      <c r="G461" s="10">
        <v>45326</v>
      </c>
      <c r="H461" t="s">
        <v>38</v>
      </c>
      <c r="I461" t="s">
        <v>82</v>
      </c>
      <c r="J461" t="s">
        <v>47</v>
      </c>
      <c r="K461" t="s">
        <v>184</v>
      </c>
      <c r="L461" t="s">
        <v>60</v>
      </c>
      <c r="M461" t="s">
        <v>315</v>
      </c>
      <c r="N461">
        <v>8</v>
      </c>
      <c r="O461" t="s">
        <v>117</v>
      </c>
      <c r="P461" s="11">
        <v>6000</v>
      </c>
      <c r="Q461" t="s">
        <v>772</v>
      </c>
      <c r="R461" s="11">
        <f t="shared" si="14"/>
        <v>6000</v>
      </c>
      <c r="S461" t="str">
        <f t="shared" si="15"/>
        <v>Repeat</v>
      </c>
    </row>
    <row r="462" spans="1:19" ht="15" customHeight="1" x14ac:dyDescent="0.3">
      <c r="A462">
        <v>461</v>
      </c>
      <c r="B462" t="s">
        <v>771</v>
      </c>
      <c r="C462">
        <v>4491188</v>
      </c>
      <c r="D462" t="s">
        <v>114</v>
      </c>
      <c r="E462">
        <v>64</v>
      </c>
      <c r="F462" t="s">
        <v>77</v>
      </c>
      <c r="G462" s="10">
        <v>45326</v>
      </c>
      <c r="H462" t="s">
        <v>38</v>
      </c>
      <c r="I462" t="s">
        <v>83</v>
      </c>
      <c r="J462" t="s">
        <v>47</v>
      </c>
      <c r="K462" t="s">
        <v>184</v>
      </c>
      <c r="L462" t="s">
        <v>60</v>
      </c>
      <c r="M462" t="s">
        <v>315</v>
      </c>
      <c r="N462">
        <v>9</v>
      </c>
      <c r="O462" t="s">
        <v>117</v>
      </c>
      <c r="P462" s="11">
        <v>6000</v>
      </c>
      <c r="Q462" t="s">
        <v>65</v>
      </c>
      <c r="R462" s="11">
        <f t="shared" si="14"/>
        <v>0</v>
      </c>
      <c r="S462" t="str">
        <f t="shared" si="15"/>
        <v>Repeat</v>
      </c>
    </row>
    <row r="463" spans="1:19" ht="15" customHeight="1" x14ac:dyDescent="0.3">
      <c r="A463">
        <v>462</v>
      </c>
      <c r="B463" t="s">
        <v>773</v>
      </c>
      <c r="C463">
        <v>1775998</v>
      </c>
      <c r="D463" t="s">
        <v>114</v>
      </c>
      <c r="E463">
        <v>35</v>
      </c>
      <c r="F463" t="s">
        <v>76</v>
      </c>
      <c r="G463" s="10">
        <v>45366</v>
      </c>
      <c r="H463" t="s">
        <v>39</v>
      </c>
      <c r="I463" t="s">
        <v>82</v>
      </c>
      <c r="J463" t="s">
        <v>47</v>
      </c>
      <c r="K463" t="s">
        <v>184</v>
      </c>
      <c r="L463" t="s">
        <v>60</v>
      </c>
      <c r="M463" t="s">
        <v>315</v>
      </c>
      <c r="N463">
        <v>7</v>
      </c>
      <c r="O463" t="s">
        <v>117</v>
      </c>
      <c r="P463" s="11">
        <v>5900</v>
      </c>
      <c r="Q463" t="s">
        <v>191</v>
      </c>
      <c r="R463" s="11">
        <f t="shared" si="14"/>
        <v>5900</v>
      </c>
      <c r="S463" t="str">
        <f t="shared" si="15"/>
        <v>One-Time</v>
      </c>
    </row>
    <row r="464" spans="1:19" ht="15" customHeight="1" x14ac:dyDescent="0.3">
      <c r="A464">
        <v>463</v>
      </c>
      <c r="B464" t="s">
        <v>774</v>
      </c>
      <c r="C464">
        <v>8876998</v>
      </c>
      <c r="D464" t="s">
        <v>114</v>
      </c>
      <c r="E464">
        <v>23</v>
      </c>
      <c r="F464" t="s">
        <v>75</v>
      </c>
      <c r="G464" s="10">
        <v>45367</v>
      </c>
      <c r="H464" t="s">
        <v>39</v>
      </c>
      <c r="I464" t="s">
        <v>82</v>
      </c>
      <c r="J464" t="s">
        <v>47</v>
      </c>
      <c r="K464" t="s">
        <v>184</v>
      </c>
      <c r="L464" t="s">
        <v>60</v>
      </c>
      <c r="M464" t="s">
        <v>315</v>
      </c>
      <c r="N464">
        <v>6</v>
      </c>
      <c r="O464" t="s">
        <v>117</v>
      </c>
      <c r="P464" s="11">
        <v>5900</v>
      </c>
      <c r="Q464" t="s">
        <v>294</v>
      </c>
      <c r="R464" s="11">
        <f t="shared" si="14"/>
        <v>5900</v>
      </c>
      <c r="S464" t="str">
        <f t="shared" si="15"/>
        <v>One-Time</v>
      </c>
    </row>
    <row r="465" spans="1:19" ht="15" customHeight="1" x14ac:dyDescent="0.3">
      <c r="A465">
        <v>464</v>
      </c>
      <c r="B465" t="s">
        <v>775</v>
      </c>
      <c r="C465">
        <v>216823</v>
      </c>
      <c r="D465" t="s">
        <v>114</v>
      </c>
      <c r="E465">
        <v>33</v>
      </c>
      <c r="F465" t="s">
        <v>76</v>
      </c>
      <c r="G465" s="10">
        <v>45368</v>
      </c>
      <c r="H465" t="s">
        <v>39</v>
      </c>
      <c r="I465" t="s">
        <v>82</v>
      </c>
      <c r="J465" t="s">
        <v>47</v>
      </c>
      <c r="K465" t="s">
        <v>184</v>
      </c>
      <c r="L465" t="s">
        <v>60</v>
      </c>
      <c r="M465" t="s">
        <v>315</v>
      </c>
      <c r="N465">
        <v>2</v>
      </c>
      <c r="O465" t="s">
        <v>117</v>
      </c>
      <c r="P465" s="11">
        <v>5900</v>
      </c>
      <c r="Q465" t="s">
        <v>749</v>
      </c>
      <c r="R465" s="11">
        <f t="shared" si="14"/>
        <v>5900</v>
      </c>
      <c r="S465" t="str">
        <f t="shared" si="15"/>
        <v>One-Time</v>
      </c>
    </row>
    <row r="466" spans="1:19" ht="15" customHeight="1" x14ac:dyDescent="0.3">
      <c r="A466">
        <v>465</v>
      </c>
      <c r="B466" t="s">
        <v>776</v>
      </c>
      <c r="C466">
        <v>1863792</v>
      </c>
      <c r="D466" t="s">
        <v>114</v>
      </c>
      <c r="E466">
        <v>49</v>
      </c>
      <c r="F466" t="s">
        <v>76</v>
      </c>
      <c r="G466" s="10">
        <v>45369</v>
      </c>
      <c r="H466" t="s">
        <v>39</v>
      </c>
      <c r="I466" t="s">
        <v>82</v>
      </c>
      <c r="J466" t="s">
        <v>47</v>
      </c>
      <c r="K466" t="s">
        <v>184</v>
      </c>
      <c r="L466" t="s">
        <v>60</v>
      </c>
      <c r="M466" t="s">
        <v>315</v>
      </c>
      <c r="N466">
        <v>8</v>
      </c>
      <c r="O466" t="s">
        <v>117</v>
      </c>
      <c r="P466" s="11">
        <v>5900</v>
      </c>
      <c r="Q466" t="s">
        <v>777</v>
      </c>
      <c r="R466" s="11">
        <f t="shared" si="14"/>
        <v>5900</v>
      </c>
      <c r="S466" t="str">
        <f t="shared" si="15"/>
        <v>One-Time</v>
      </c>
    </row>
    <row r="467" spans="1:19" ht="15" customHeight="1" x14ac:dyDescent="0.3">
      <c r="A467">
        <v>466</v>
      </c>
      <c r="B467" t="s">
        <v>778</v>
      </c>
      <c r="C467">
        <v>1002340</v>
      </c>
      <c r="D467" t="s">
        <v>114</v>
      </c>
      <c r="E467">
        <v>52</v>
      </c>
      <c r="F467" t="s">
        <v>77</v>
      </c>
      <c r="G467" s="10">
        <v>45370</v>
      </c>
      <c r="H467" t="s">
        <v>39</v>
      </c>
      <c r="I467" t="s">
        <v>82</v>
      </c>
      <c r="J467" t="s">
        <v>47</v>
      </c>
      <c r="K467" t="s">
        <v>184</v>
      </c>
      <c r="L467" t="s">
        <v>60</v>
      </c>
      <c r="M467" t="s">
        <v>315</v>
      </c>
      <c r="N467">
        <v>4</v>
      </c>
      <c r="O467" t="s">
        <v>117</v>
      </c>
      <c r="P467" s="11">
        <v>5900</v>
      </c>
      <c r="Q467" t="s">
        <v>779</v>
      </c>
      <c r="R467" s="11">
        <f t="shared" si="14"/>
        <v>5900</v>
      </c>
      <c r="S467" t="str">
        <f t="shared" si="15"/>
        <v>One-Time</v>
      </c>
    </row>
    <row r="468" spans="1:19" ht="15" customHeight="1" x14ac:dyDescent="0.3">
      <c r="A468">
        <v>467</v>
      </c>
      <c r="B468" t="s">
        <v>780</v>
      </c>
      <c r="C468">
        <v>2216196</v>
      </c>
      <c r="D468" t="s">
        <v>114</v>
      </c>
      <c r="E468">
        <v>29</v>
      </c>
      <c r="F468" t="s">
        <v>75</v>
      </c>
      <c r="G468" s="10">
        <v>45371</v>
      </c>
      <c r="H468" t="s">
        <v>39</v>
      </c>
      <c r="I468" t="s">
        <v>82</v>
      </c>
      <c r="J468" t="s">
        <v>47</v>
      </c>
      <c r="K468" t="s">
        <v>184</v>
      </c>
      <c r="L468" t="s">
        <v>60</v>
      </c>
      <c r="M468" t="s">
        <v>315</v>
      </c>
      <c r="N468">
        <v>6</v>
      </c>
      <c r="O468" t="s">
        <v>117</v>
      </c>
      <c r="P468" s="11">
        <v>5900</v>
      </c>
      <c r="Q468" t="s">
        <v>781</v>
      </c>
      <c r="R468" s="11">
        <f t="shared" si="14"/>
        <v>5900</v>
      </c>
      <c r="S468" t="str">
        <f t="shared" si="15"/>
        <v>One-Time</v>
      </c>
    </row>
    <row r="469" spans="1:19" ht="15" customHeight="1" x14ac:dyDescent="0.3">
      <c r="A469">
        <v>468</v>
      </c>
      <c r="B469" t="s">
        <v>782</v>
      </c>
      <c r="C469">
        <v>4300165</v>
      </c>
      <c r="D469" t="s">
        <v>114</v>
      </c>
      <c r="E469">
        <v>38</v>
      </c>
      <c r="F469" t="s">
        <v>76</v>
      </c>
      <c r="G469" s="10">
        <v>45372</v>
      </c>
      <c r="H469" t="s">
        <v>39</v>
      </c>
      <c r="I469" t="s">
        <v>82</v>
      </c>
      <c r="J469" t="s">
        <v>47</v>
      </c>
      <c r="K469" t="s">
        <v>184</v>
      </c>
      <c r="L469" t="s">
        <v>56</v>
      </c>
      <c r="M469" t="s">
        <v>315</v>
      </c>
      <c r="N469">
        <v>5</v>
      </c>
      <c r="O469" t="s">
        <v>117</v>
      </c>
      <c r="P469" s="11">
        <v>5900</v>
      </c>
      <c r="Q469" t="s">
        <v>300</v>
      </c>
      <c r="R469" s="11">
        <f t="shared" si="14"/>
        <v>5900</v>
      </c>
      <c r="S469" t="str">
        <f t="shared" si="15"/>
        <v>One-Time</v>
      </c>
    </row>
    <row r="470" spans="1:19" ht="15" customHeight="1" x14ac:dyDescent="0.3">
      <c r="A470">
        <v>469</v>
      </c>
      <c r="B470" t="s">
        <v>783</v>
      </c>
      <c r="C470">
        <v>8400190</v>
      </c>
      <c r="D470" t="s">
        <v>114</v>
      </c>
      <c r="E470">
        <v>18</v>
      </c>
      <c r="F470" t="s">
        <v>75</v>
      </c>
      <c r="G470" s="10">
        <v>45373</v>
      </c>
      <c r="H470" t="s">
        <v>39</v>
      </c>
      <c r="I470" t="s">
        <v>82</v>
      </c>
      <c r="J470" t="s">
        <v>47</v>
      </c>
      <c r="K470" t="s">
        <v>184</v>
      </c>
      <c r="L470" t="s">
        <v>56</v>
      </c>
      <c r="M470" t="s">
        <v>315</v>
      </c>
      <c r="N470">
        <v>23</v>
      </c>
      <c r="O470" t="s">
        <v>117</v>
      </c>
      <c r="P470" s="11">
        <v>5900</v>
      </c>
      <c r="Q470" t="s">
        <v>63</v>
      </c>
      <c r="R470" s="11">
        <f t="shared" si="14"/>
        <v>5900</v>
      </c>
      <c r="S470" t="str">
        <f t="shared" si="15"/>
        <v>One-Time</v>
      </c>
    </row>
    <row r="471" spans="1:19" ht="15" customHeight="1" x14ac:dyDescent="0.3">
      <c r="A471">
        <v>470</v>
      </c>
      <c r="B471" t="s">
        <v>784</v>
      </c>
      <c r="C471">
        <v>9113248</v>
      </c>
      <c r="D471" t="s">
        <v>114</v>
      </c>
      <c r="E471">
        <v>18</v>
      </c>
      <c r="F471" t="s">
        <v>75</v>
      </c>
      <c r="G471" s="10">
        <v>45374</v>
      </c>
      <c r="H471" t="s">
        <v>39</v>
      </c>
      <c r="I471" t="s">
        <v>82</v>
      </c>
      <c r="J471" t="s">
        <v>47</v>
      </c>
      <c r="K471" t="s">
        <v>182</v>
      </c>
      <c r="L471" t="s">
        <v>56</v>
      </c>
      <c r="M471" t="s">
        <v>315</v>
      </c>
      <c r="N471">
        <v>2</v>
      </c>
      <c r="O471" t="s">
        <v>117</v>
      </c>
      <c r="P471" s="11">
        <v>5900</v>
      </c>
      <c r="Q471" t="s">
        <v>785</v>
      </c>
      <c r="R471" s="11">
        <f t="shared" si="14"/>
        <v>5900</v>
      </c>
      <c r="S471" t="str">
        <f t="shared" si="15"/>
        <v>One-Time</v>
      </c>
    </row>
    <row r="472" spans="1:19" ht="15" customHeight="1" x14ac:dyDescent="0.3">
      <c r="A472">
        <v>471</v>
      </c>
      <c r="B472" t="s">
        <v>786</v>
      </c>
      <c r="C472">
        <v>5520338</v>
      </c>
      <c r="D472" t="s">
        <v>114</v>
      </c>
      <c r="E472">
        <v>33</v>
      </c>
      <c r="F472" t="s">
        <v>76</v>
      </c>
      <c r="G472" s="10">
        <v>45375</v>
      </c>
      <c r="H472" t="s">
        <v>39</v>
      </c>
      <c r="I472" t="s">
        <v>82</v>
      </c>
      <c r="J472" t="s">
        <v>47</v>
      </c>
      <c r="K472" t="s">
        <v>182</v>
      </c>
      <c r="L472" t="s">
        <v>56</v>
      </c>
      <c r="M472" t="s">
        <v>315</v>
      </c>
      <c r="N472">
        <v>5</v>
      </c>
      <c r="O472" t="s">
        <v>117</v>
      </c>
      <c r="P472" s="11">
        <v>5900</v>
      </c>
      <c r="Q472" t="s">
        <v>67</v>
      </c>
      <c r="R472" s="11">
        <f t="shared" si="14"/>
        <v>5900</v>
      </c>
      <c r="S472" t="str">
        <f t="shared" si="15"/>
        <v>One-Time</v>
      </c>
    </row>
    <row r="473" spans="1:19" ht="15" customHeight="1" x14ac:dyDescent="0.3">
      <c r="A473">
        <v>472</v>
      </c>
      <c r="B473" t="s">
        <v>787</v>
      </c>
      <c r="C473">
        <v>5510344</v>
      </c>
      <c r="D473" t="s">
        <v>114</v>
      </c>
      <c r="E473">
        <v>59</v>
      </c>
      <c r="F473" t="s">
        <v>77</v>
      </c>
      <c r="G473" s="10">
        <v>45376</v>
      </c>
      <c r="H473" t="s">
        <v>39</v>
      </c>
      <c r="I473" t="s">
        <v>82</v>
      </c>
      <c r="J473" t="s">
        <v>47</v>
      </c>
      <c r="K473" t="s">
        <v>182</v>
      </c>
      <c r="L473" t="s">
        <v>56</v>
      </c>
      <c r="M473" t="s">
        <v>315</v>
      </c>
      <c r="N473">
        <v>9</v>
      </c>
      <c r="O473" t="s">
        <v>117</v>
      </c>
      <c r="P473" s="11">
        <v>5900</v>
      </c>
      <c r="Q473" t="s">
        <v>65</v>
      </c>
      <c r="R473" s="11">
        <f t="shared" si="14"/>
        <v>5900</v>
      </c>
      <c r="S473" t="str">
        <f t="shared" si="15"/>
        <v>One-Time</v>
      </c>
    </row>
    <row r="474" spans="1:19" ht="15" customHeight="1" x14ac:dyDescent="0.3">
      <c r="A474">
        <v>473</v>
      </c>
      <c r="B474" t="s">
        <v>788</v>
      </c>
      <c r="C474">
        <v>648743</v>
      </c>
      <c r="D474" t="s">
        <v>114</v>
      </c>
      <c r="E474">
        <v>57</v>
      </c>
      <c r="F474" t="s">
        <v>77</v>
      </c>
      <c r="G474" s="10">
        <v>45377</v>
      </c>
      <c r="H474" t="s">
        <v>39</v>
      </c>
      <c r="I474" t="s">
        <v>82</v>
      </c>
      <c r="J474" t="s">
        <v>47</v>
      </c>
      <c r="K474" t="s">
        <v>182</v>
      </c>
      <c r="L474" t="s">
        <v>56</v>
      </c>
      <c r="M474" t="s">
        <v>315</v>
      </c>
      <c r="N474">
        <v>27</v>
      </c>
      <c r="O474" t="s">
        <v>117</v>
      </c>
      <c r="P474" s="11">
        <v>5900</v>
      </c>
      <c r="Q474" t="s">
        <v>313</v>
      </c>
      <c r="R474" s="11">
        <f t="shared" si="14"/>
        <v>5900</v>
      </c>
      <c r="S474" t="str">
        <f t="shared" si="15"/>
        <v>One-Time</v>
      </c>
    </row>
    <row r="475" spans="1:19" ht="15" customHeight="1" x14ac:dyDescent="0.3">
      <c r="A475">
        <v>474</v>
      </c>
      <c r="B475" t="s">
        <v>789</v>
      </c>
      <c r="C475">
        <v>4525940</v>
      </c>
      <c r="D475" t="s">
        <v>114</v>
      </c>
      <c r="E475">
        <v>62</v>
      </c>
      <c r="F475" t="s">
        <v>77</v>
      </c>
      <c r="G475" s="10">
        <v>45378</v>
      </c>
      <c r="H475" t="s">
        <v>39</v>
      </c>
      <c r="I475" t="s">
        <v>82</v>
      </c>
      <c r="J475" t="s">
        <v>47</v>
      </c>
      <c r="K475" t="s">
        <v>182</v>
      </c>
      <c r="L475" t="s">
        <v>56</v>
      </c>
      <c r="M475" t="s">
        <v>315</v>
      </c>
      <c r="N475">
        <v>6</v>
      </c>
      <c r="O475" t="s">
        <v>117</v>
      </c>
      <c r="P475" s="11">
        <v>5900</v>
      </c>
      <c r="Q475" t="s">
        <v>524</v>
      </c>
      <c r="R475" s="11">
        <f t="shared" si="14"/>
        <v>5900</v>
      </c>
      <c r="S475" t="str">
        <f t="shared" si="15"/>
        <v>Repeat</v>
      </c>
    </row>
    <row r="476" spans="1:19" ht="15" customHeight="1" x14ac:dyDescent="0.3">
      <c r="A476">
        <v>475</v>
      </c>
      <c r="B476" t="s">
        <v>789</v>
      </c>
      <c r="C476">
        <v>4525940</v>
      </c>
      <c r="D476" t="s">
        <v>114</v>
      </c>
      <c r="E476">
        <v>36</v>
      </c>
      <c r="F476" t="s">
        <v>76</v>
      </c>
      <c r="G476" s="10">
        <v>45379</v>
      </c>
      <c r="H476" t="s">
        <v>39</v>
      </c>
      <c r="I476" t="s">
        <v>82</v>
      </c>
      <c r="J476" t="s">
        <v>47</v>
      </c>
      <c r="K476" t="s">
        <v>115</v>
      </c>
      <c r="L476" t="s">
        <v>56</v>
      </c>
      <c r="M476" t="s">
        <v>315</v>
      </c>
      <c r="N476">
        <v>6</v>
      </c>
      <c r="O476" t="s">
        <v>117</v>
      </c>
      <c r="P476" s="11">
        <v>5900</v>
      </c>
      <c r="Q476" t="s">
        <v>790</v>
      </c>
      <c r="R476" s="11">
        <f t="shared" si="14"/>
        <v>5900</v>
      </c>
      <c r="S476" t="str">
        <f t="shared" si="15"/>
        <v>Repeat</v>
      </c>
    </row>
    <row r="477" spans="1:19" ht="15" customHeight="1" x14ac:dyDescent="0.3">
      <c r="A477">
        <v>476</v>
      </c>
      <c r="B477" t="s">
        <v>791</v>
      </c>
      <c r="C477">
        <v>5487299</v>
      </c>
      <c r="D477" t="s">
        <v>114</v>
      </c>
      <c r="E477">
        <v>30</v>
      </c>
      <c r="F477" t="s">
        <v>76</v>
      </c>
      <c r="G477" s="10">
        <v>45380</v>
      </c>
      <c r="H477" t="s">
        <v>39</v>
      </c>
      <c r="I477" t="s">
        <v>82</v>
      </c>
      <c r="J477" t="s">
        <v>47</v>
      </c>
      <c r="K477" t="s">
        <v>115</v>
      </c>
      <c r="L477" t="s">
        <v>56</v>
      </c>
      <c r="M477" t="s">
        <v>315</v>
      </c>
      <c r="N477">
        <v>2</v>
      </c>
      <c r="O477" t="s">
        <v>117</v>
      </c>
      <c r="P477" s="11">
        <v>5900</v>
      </c>
      <c r="Q477" t="s">
        <v>792</v>
      </c>
      <c r="R477" s="11">
        <f t="shared" si="14"/>
        <v>5900</v>
      </c>
      <c r="S477" t="str">
        <f t="shared" si="15"/>
        <v>One-Time</v>
      </c>
    </row>
    <row r="478" spans="1:19" ht="15" customHeight="1" x14ac:dyDescent="0.3">
      <c r="A478">
        <v>477</v>
      </c>
      <c r="B478" t="s">
        <v>793</v>
      </c>
      <c r="C478">
        <v>3760677</v>
      </c>
      <c r="D478" t="s">
        <v>114</v>
      </c>
      <c r="E478">
        <v>40</v>
      </c>
      <c r="F478" t="s">
        <v>76</v>
      </c>
      <c r="G478" s="10">
        <v>45381</v>
      </c>
      <c r="H478" t="s">
        <v>39</v>
      </c>
      <c r="I478" t="s">
        <v>82</v>
      </c>
      <c r="J478" t="s">
        <v>47</v>
      </c>
      <c r="K478" t="s">
        <v>115</v>
      </c>
      <c r="L478" t="s">
        <v>56</v>
      </c>
      <c r="M478" t="s">
        <v>315</v>
      </c>
      <c r="N478">
        <v>32</v>
      </c>
      <c r="O478" t="s">
        <v>117</v>
      </c>
      <c r="P478" s="11">
        <v>5900</v>
      </c>
      <c r="Q478" t="s">
        <v>62</v>
      </c>
      <c r="R478" s="11">
        <f t="shared" si="14"/>
        <v>5900</v>
      </c>
      <c r="S478" t="str">
        <f t="shared" si="15"/>
        <v>One-Time</v>
      </c>
    </row>
    <row r="479" spans="1:19" ht="15" customHeight="1" x14ac:dyDescent="0.3">
      <c r="A479">
        <v>478</v>
      </c>
      <c r="B479" t="s">
        <v>794</v>
      </c>
      <c r="C479">
        <v>3086922</v>
      </c>
      <c r="D479" t="s">
        <v>114</v>
      </c>
      <c r="E479">
        <v>23</v>
      </c>
      <c r="F479" t="s">
        <v>75</v>
      </c>
      <c r="G479" s="10">
        <v>45382</v>
      </c>
      <c r="H479" t="s">
        <v>39</v>
      </c>
      <c r="I479" t="s">
        <v>83</v>
      </c>
      <c r="J479" t="s">
        <v>47</v>
      </c>
      <c r="K479" t="s">
        <v>115</v>
      </c>
      <c r="L479" t="s">
        <v>56</v>
      </c>
      <c r="M479" t="s">
        <v>315</v>
      </c>
      <c r="N479">
        <v>3</v>
      </c>
      <c r="O479" t="s">
        <v>117</v>
      </c>
      <c r="P479" s="11">
        <v>5900</v>
      </c>
      <c r="Q479" t="s">
        <v>62</v>
      </c>
      <c r="R479" s="11">
        <f t="shared" si="14"/>
        <v>0</v>
      </c>
      <c r="S479" t="str">
        <f t="shared" si="15"/>
        <v>One-Time</v>
      </c>
    </row>
    <row r="480" spans="1:19" ht="15" customHeight="1" x14ac:dyDescent="0.3">
      <c r="A480">
        <v>479</v>
      </c>
      <c r="B480" t="s">
        <v>795</v>
      </c>
      <c r="C480">
        <v>4283216</v>
      </c>
      <c r="D480" t="s">
        <v>114</v>
      </c>
      <c r="E480">
        <v>39</v>
      </c>
      <c r="F480" t="s">
        <v>76</v>
      </c>
      <c r="G480" s="10">
        <v>45383</v>
      </c>
      <c r="H480" t="s">
        <v>40</v>
      </c>
      <c r="I480" t="s">
        <v>82</v>
      </c>
      <c r="J480" t="s">
        <v>47</v>
      </c>
      <c r="K480" t="s">
        <v>115</v>
      </c>
      <c r="L480" t="s">
        <v>56</v>
      </c>
      <c r="M480" t="s">
        <v>315</v>
      </c>
      <c r="N480">
        <v>48</v>
      </c>
      <c r="O480" t="s">
        <v>117</v>
      </c>
      <c r="P480" s="11">
        <v>5900</v>
      </c>
      <c r="Q480" t="s">
        <v>796</v>
      </c>
      <c r="R480" s="11">
        <f t="shared" si="14"/>
        <v>5900</v>
      </c>
      <c r="S480" t="str">
        <f t="shared" si="15"/>
        <v>Repeat</v>
      </c>
    </row>
    <row r="481" spans="1:19" ht="15" customHeight="1" x14ac:dyDescent="0.3">
      <c r="A481">
        <v>480</v>
      </c>
      <c r="B481" t="s">
        <v>795</v>
      </c>
      <c r="C481">
        <v>4283216</v>
      </c>
      <c r="D481" t="s">
        <v>114</v>
      </c>
      <c r="E481">
        <v>53</v>
      </c>
      <c r="F481" t="s">
        <v>77</v>
      </c>
      <c r="G481" s="10">
        <v>45384</v>
      </c>
      <c r="H481" t="s">
        <v>40</v>
      </c>
      <c r="I481" t="s">
        <v>82</v>
      </c>
      <c r="J481" t="s">
        <v>47</v>
      </c>
      <c r="K481" t="s">
        <v>115</v>
      </c>
      <c r="L481" t="s">
        <v>56</v>
      </c>
      <c r="M481" t="s">
        <v>315</v>
      </c>
      <c r="N481">
        <v>5</v>
      </c>
      <c r="O481" t="s">
        <v>117</v>
      </c>
      <c r="P481" s="11">
        <v>5900</v>
      </c>
      <c r="Q481" t="s">
        <v>62</v>
      </c>
      <c r="R481" s="11">
        <f t="shared" si="14"/>
        <v>5900</v>
      </c>
      <c r="S481" t="str">
        <f t="shared" si="15"/>
        <v>Repeat</v>
      </c>
    </row>
    <row r="482" spans="1:19" ht="15" customHeight="1" x14ac:dyDescent="0.3">
      <c r="A482">
        <v>481</v>
      </c>
      <c r="B482" t="s">
        <v>797</v>
      </c>
      <c r="C482">
        <v>263159</v>
      </c>
      <c r="D482" t="s">
        <v>114</v>
      </c>
      <c r="E482">
        <v>47</v>
      </c>
      <c r="F482" t="s">
        <v>76</v>
      </c>
      <c r="G482" s="10">
        <v>45385</v>
      </c>
      <c r="H482" t="s">
        <v>40</v>
      </c>
      <c r="I482" t="s">
        <v>85</v>
      </c>
      <c r="J482" t="s">
        <v>47</v>
      </c>
      <c r="K482" t="s">
        <v>115</v>
      </c>
      <c r="L482" t="s">
        <v>56</v>
      </c>
      <c r="M482" t="s">
        <v>315</v>
      </c>
      <c r="N482">
        <v>2</v>
      </c>
      <c r="O482" t="s">
        <v>117</v>
      </c>
      <c r="P482" s="11">
        <v>5900</v>
      </c>
      <c r="Q482" t="s">
        <v>798</v>
      </c>
      <c r="R482" s="11">
        <f t="shared" si="14"/>
        <v>0</v>
      </c>
      <c r="S482" t="str">
        <f t="shared" si="15"/>
        <v>One-Time</v>
      </c>
    </row>
    <row r="483" spans="1:19" ht="15" customHeight="1" x14ac:dyDescent="0.3">
      <c r="A483">
        <v>482</v>
      </c>
      <c r="B483" t="s">
        <v>799</v>
      </c>
      <c r="C483">
        <v>2735063</v>
      </c>
      <c r="D483" t="s">
        <v>114</v>
      </c>
      <c r="E483">
        <v>32</v>
      </c>
      <c r="F483" t="s">
        <v>76</v>
      </c>
      <c r="G483" s="10">
        <v>45386</v>
      </c>
      <c r="H483" t="s">
        <v>40</v>
      </c>
      <c r="I483" t="s">
        <v>82</v>
      </c>
      <c r="J483" t="s">
        <v>47</v>
      </c>
      <c r="K483" t="s">
        <v>115</v>
      </c>
      <c r="L483" t="s">
        <v>56</v>
      </c>
      <c r="M483" t="s">
        <v>315</v>
      </c>
      <c r="N483">
        <v>9</v>
      </c>
      <c r="O483" t="s">
        <v>117</v>
      </c>
      <c r="P483" s="11">
        <v>5900</v>
      </c>
      <c r="Q483" t="s">
        <v>64</v>
      </c>
      <c r="R483" s="11">
        <f t="shared" si="14"/>
        <v>5900</v>
      </c>
      <c r="S483" t="str">
        <f t="shared" si="15"/>
        <v>One-Time</v>
      </c>
    </row>
    <row r="484" spans="1:19" ht="15" customHeight="1" x14ac:dyDescent="0.3">
      <c r="A484">
        <v>483</v>
      </c>
      <c r="B484" t="s">
        <v>800</v>
      </c>
      <c r="C484">
        <v>1908556</v>
      </c>
      <c r="D484" t="s">
        <v>114</v>
      </c>
      <c r="E484">
        <v>31</v>
      </c>
      <c r="F484" t="s">
        <v>76</v>
      </c>
      <c r="G484" s="10">
        <v>45387</v>
      </c>
      <c r="H484" t="s">
        <v>40</v>
      </c>
      <c r="I484" t="s">
        <v>82</v>
      </c>
      <c r="J484" t="s">
        <v>47</v>
      </c>
      <c r="K484" t="s">
        <v>115</v>
      </c>
      <c r="L484" t="s">
        <v>56</v>
      </c>
      <c r="M484" t="s">
        <v>315</v>
      </c>
      <c r="N484">
        <v>7</v>
      </c>
      <c r="O484" t="s">
        <v>117</v>
      </c>
      <c r="P484" s="11">
        <v>5900</v>
      </c>
      <c r="Q484" t="s">
        <v>801</v>
      </c>
      <c r="R484" s="11">
        <f t="shared" si="14"/>
        <v>5900</v>
      </c>
      <c r="S484" t="str">
        <f t="shared" si="15"/>
        <v>One-Time</v>
      </c>
    </row>
    <row r="485" spans="1:19" ht="15" customHeight="1" x14ac:dyDescent="0.3">
      <c r="A485">
        <v>484</v>
      </c>
      <c r="B485" t="s">
        <v>802</v>
      </c>
      <c r="C485">
        <v>263726</v>
      </c>
      <c r="D485" t="s">
        <v>114</v>
      </c>
      <c r="E485">
        <v>57</v>
      </c>
      <c r="F485" t="s">
        <v>77</v>
      </c>
      <c r="G485" s="10">
        <v>45388</v>
      </c>
      <c r="H485" t="s">
        <v>40</v>
      </c>
      <c r="I485" t="s">
        <v>82</v>
      </c>
      <c r="J485" t="s">
        <v>47</v>
      </c>
      <c r="K485" t="s">
        <v>115</v>
      </c>
      <c r="L485" t="s">
        <v>56</v>
      </c>
      <c r="M485" t="s">
        <v>315</v>
      </c>
      <c r="N485">
        <v>2</v>
      </c>
      <c r="O485" t="s">
        <v>117</v>
      </c>
      <c r="P485" s="11">
        <v>5900</v>
      </c>
      <c r="Q485" t="s">
        <v>64</v>
      </c>
      <c r="R485" s="11">
        <f t="shared" si="14"/>
        <v>5900</v>
      </c>
      <c r="S485" t="str">
        <f t="shared" si="15"/>
        <v>One-Time</v>
      </c>
    </row>
    <row r="486" spans="1:19" ht="15" customHeight="1" x14ac:dyDescent="0.3">
      <c r="A486">
        <v>485</v>
      </c>
      <c r="B486" t="s">
        <v>803</v>
      </c>
      <c r="C486">
        <v>828016</v>
      </c>
      <c r="D486" t="s">
        <v>114</v>
      </c>
      <c r="E486">
        <v>34</v>
      </c>
      <c r="F486" t="s">
        <v>76</v>
      </c>
      <c r="G486" s="10">
        <v>45389</v>
      </c>
      <c r="H486" t="s">
        <v>40</v>
      </c>
      <c r="I486" t="s">
        <v>82</v>
      </c>
      <c r="J486" t="s">
        <v>47</v>
      </c>
      <c r="K486" t="s">
        <v>115</v>
      </c>
      <c r="L486" t="s">
        <v>56</v>
      </c>
      <c r="M486" t="s">
        <v>315</v>
      </c>
      <c r="N486">
        <v>8</v>
      </c>
      <c r="O486" t="s">
        <v>117</v>
      </c>
      <c r="P486" s="11">
        <v>5900</v>
      </c>
      <c r="Q486" t="s">
        <v>147</v>
      </c>
      <c r="R486" s="11">
        <f t="shared" si="14"/>
        <v>5900</v>
      </c>
      <c r="S486" t="str">
        <f t="shared" si="15"/>
        <v>One-Time</v>
      </c>
    </row>
    <row r="487" spans="1:19" ht="15" customHeight="1" x14ac:dyDescent="0.3">
      <c r="A487">
        <v>486</v>
      </c>
      <c r="B487" t="s">
        <v>804</v>
      </c>
      <c r="C487">
        <v>3510246</v>
      </c>
      <c r="D487" t="s">
        <v>114</v>
      </c>
      <c r="E487">
        <v>18</v>
      </c>
      <c r="F487" t="s">
        <v>75</v>
      </c>
      <c r="G487" s="10">
        <v>45390</v>
      </c>
      <c r="H487" t="s">
        <v>40</v>
      </c>
      <c r="I487" t="s">
        <v>82</v>
      </c>
      <c r="J487" t="s">
        <v>47</v>
      </c>
      <c r="K487" t="s">
        <v>115</v>
      </c>
      <c r="L487" t="s">
        <v>56</v>
      </c>
      <c r="M487" t="s">
        <v>116</v>
      </c>
      <c r="N487">
        <v>4</v>
      </c>
      <c r="O487" t="s">
        <v>117</v>
      </c>
      <c r="P487" s="11">
        <v>5900</v>
      </c>
      <c r="Q487" t="s">
        <v>805</v>
      </c>
      <c r="R487" s="11">
        <f t="shared" si="14"/>
        <v>5900</v>
      </c>
      <c r="S487" t="str">
        <f t="shared" si="15"/>
        <v>One-Time</v>
      </c>
    </row>
    <row r="488" spans="1:19" ht="15" customHeight="1" x14ac:dyDescent="0.3">
      <c r="A488">
        <v>487</v>
      </c>
      <c r="B488" t="s">
        <v>806</v>
      </c>
      <c r="C488">
        <v>1562996</v>
      </c>
      <c r="D488" t="s">
        <v>114</v>
      </c>
      <c r="E488">
        <v>23</v>
      </c>
      <c r="F488" t="s">
        <v>75</v>
      </c>
      <c r="G488" s="10">
        <v>45391</v>
      </c>
      <c r="H488" t="s">
        <v>40</v>
      </c>
      <c r="I488" t="s">
        <v>82</v>
      </c>
      <c r="J488" t="s">
        <v>47</v>
      </c>
      <c r="K488" t="s">
        <v>115</v>
      </c>
      <c r="L488" t="s">
        <v>56</v>
      </c>
      <c r="M488" t="s">
        <v>116</v>
      </c>
      <c r="N488">
        <v>5</v>
      </c>
      <c r="O488" t="s">
        <v>117</v>
      </c>
      <c r="P488" s="11">
        <v>5900</v>
      </c>
      <c r="Q488" t="s">
        <v>223</v>
      </c>
      <c r="R488" s="11">
        <f t="shared" si="14"/>
        <v>5900</v>
      </c>
      <c r="S488" t="str">
        <f t="shared" si="15"/>
        <v>Repeat</v>
      </c>
    </row>
    <row r="489" spans="1:19" ht="15" customHeight="1" x14ac:dyDescent="0.3">
      <c r="A489">
        <v>488</v>
      </c>
      <c r="B489" t="s">
        <v>806</v>
      </c>
      <c r="C489">
        <v>1562996</v>
      </c>
      <c r="D489" t="s">
        <v>114</v>
      </c>
      <c r="E489">
        <v>69</v>
      </c>
      <c r="F489" t="s">
        <v>77</v>
      </c>
      <c r="G489" s="10">
        <v>45392</v>
      </c>
      <c r="H489" t="s">
        <v>40</v>
      </c>
      <c r="I489" t="s">
        <v>82</v>
      </c>
      <c r="J489" t="s">
        <v>47</v>
      </c>
      <c r="K489" t="s">
        <v>115</v>
      </c>
      <c r="L489" t="s">
        <v>56</v>
      </c>
      <c r="M489" t="s">
        <v>116</v>
      </c>
      <c r="N489">
        <v>6</v>
      </c>
      <c r="O489" t="s">
        <v>117</v>
      </c>
      <c r="P489" s="11">
        <v>5900</v>
      </c>
      <c r="Q489" t="s">
        <v>62</v>
      </c>
      <c r="R489" s="11">
        <f t="shared" si="14"/>
        <v>5900</v>
      </c>
      <c r="S489" t="str">
        <f t="shared" si="15"/>
        <v>Repeat</v>
      </c>
    </row>
    <row r="490" spans="1:19" ht="15" customHeight="1" x14ac:dyDescent="0.3">
      <c r="A490">
        <v>489</v>
      </c>
      <c r="B490" t="s">
        <v>807</v>
      </c>
      <c r="C490">
        <v>1412370</v>
      </c>
      <c r="D490" t="s">
        <v>114</v>
      </c>
      <c r="E490">
        <v>32</v>
      </c>
      <c r="F490" t="s">
        <v>76</v>
      </c>
      <c r="G490" s="10">
        <v>45393</v>
      </c>
      <c r="H490" t="s">
        <v>40</v>
      </c>
      <c r="I490" t="s">
        <v>82</v>
      </c>
      <c r="J490" t="s">
        <v>47</v>
      </c>
      <c r="K490" t="s">
        <v>115</v>
      </c>
      <c r="L490" t="s">
        <v>59</v>
      </c>
      <c r="M490" t="s">
        <v>116</v>
      </c>
      <c r="N490">
        <v>31</v>
      </c>
      <c r="O490" t="s">
        <v>117</v>
      </c>
      <c r="P490" s="11">
        <v>5900</v>
      </c>
      <c r="Q490" t="s">
        <v>808</v>
      </c>
      <c r="R490" s="11">
        <f t="shared" si="14"/>
        <v>5900</v>
      </c>
      <c r="S490" t="str">
        <f t="shared" si="15"/>
        <v>One-Time</v>
      </c>
    </row>
    <row r="491" spans="1:19" ht="15" customHeight="1" x14ac:dyDescent="0.3">
      <c r="A491">
        <v>490</v>
      </c>
      <c r="B491" t="s">
        <v>809</v>
      </c>
      <c r="C491">
        <v>195090</v>
      </c>
      <c r="D491" t="s">
        <v>114</v>
      </c>
      <c r="E491">
        <v>31</v>
      </c>
      <c r="F491" t="s">
        <v>76</v>
      </c>
      <c r="G491" s="10">
        <v>45394</v>
      </c>
      <c r="H491" t="s">
        <v>40</v>
      </c>
      <c r="I491" t="s">
        <v>85</v>
      </c>
      <c r="J491" t="s">
        <v>47</v>
      </c>
      <c r="K491" t="s">
        <v>115</v>
      </c>
      <c r="L491" t="s">
        <v>59</v>
      </c>
      <c r="M491" t="s">
        <v>116</v>
      </c>
      <c r="N491">
        <v>2</v>
      </c>
      <c r="O491" t="s">
        <v>117</v>
      </c>
      <c r="P491" s="11">
        <v>5900</v>
      </c>
      <c r="Q491" t="s">
        <v>63</v>
      </c>
      <c r="R491" s="11">
        <f t="shared" si="14"/>
        <v>0</v>
      </c>
      <c r="S491" t="str">
        <f t="shared" si="15"/>
        <v>One-Time</v>
      </c>
    </row>
    <row r="492" spans="1:19" ht="15" customHeight="1" x14ac:dyDescent="0.3">
      <c r="A492">
        <v>491</v>
      </c>
      <c r="B492" t="s">
        <v>810</v>
      </c>
      <c r="C492">
        <v>4805720</v>
      </c>
      <c r="D492" t="s">
        <v>114</v>
      </c>
      <c r="E492">
        <v>48</v>
      </c>
      <c r="F492" t="s">
        <v>76</v>
      </c>
      <c r="G492" s="10">
        <v>45395</v>
      </c>
      <c r="H492" t="s">
        <v>40</v>
      </c>
      <c r="I492" t="s">
        <v>83</v>
      </c>
      <c r="J492" t="s">
        <v>47</v>
      </c>
      <c r="K492" t="s">
        <v>121</v>
      </c>
      <c r="L492" t="s">
        <v>59</v>
      </c>
      <c r="M492" t="s">
        <v>116</v>
      </c>
      <c r="N492">
        <v>5</v>
      </c>
      <c r="O492" t="s">
        <v>117</v>
      </c>
      <c r="P492" s="11">
        <v>5900</v>
      </c>
      <c r="Q492" t="s">
        <v>68</v>
      </c>
      <c r="R492" s="11">
        <f t="shared" si="14"/>
        <v>0</v>
      </c>
      <c r="S492" t="str">
        <f t="shared" si="15"/>
        <v>One-Time</v>
      </c>
    </row>
    <row r="493" spans="1:19" ht="15" customHeight="1" x14ac:dyDescent="0.3">
      <c r="A493">
        <v>492</v>
      </c>
      <c r="B493" t="s">
        <v>811</v>
      </c>
      <c r="C493">
        <v>1482595</v>
      </c>
      <c r="D493" t="s">
        <v>114</v>
      </c>
      <c r="E493">
        <v>55</v>
      </c>
      <c r="F493" t="s">
        <v>77</v>
      </c>
      <c r="G493" s="10">
        <v>45396</v>
      </c>
      <c r="H493" t="s">
        <v>40</v>
      </c>
      <c r="I493" t="s">
        <v>82</v>
      </c>
      <c r="J493" t="s">
        <v>47</v>
      </c>
      <c r="K493" t="s">
        <v>196</v>
      </c>
      <c r="L493" t="s">
        <v>59</v>
      </c>
      <c r="M493" t="s">
        <v>116</v>
      </c>
      <c r="N493">
        <v>5</v>
      </c>
      <c r="O493" t="s">
        <v>117</v>
      </c>
      <c r="P493" s="11">
        <v>5900</v>
      </c>
      <c r="Q493" t="s">
        <v>812</v>
      </c>
      <c r="R493" s="11">
        <f t="shared" si="14"/>
        <v>5900</v>
      </c>
      <c r="S493" t="str">
        <f t="shared" si="15"/>
        <v>One-Time</v>
      </c>
    </row>
    <row r="494" spans="1:19" ht="15" customHeight="1" x14ac:dyDescent="0.3">
      <c r="A494">
        <v>493</v>
      </c>
      <c r="B494" t="s">
        <v>813</v>
      </c>
      <c r="C494">
        <v>561569</v>
      </c>
      <c r="D494" t="s">
        <v>114</v>
      </c>
      <c r="E494">
        <v>74</v>
      </c>
      <c r="F494" t="s">
        <v>77</v>
      </c>
      <c r="G494" s="10">
        <v>45397</v>
      </c>
      <c r="H494" t="s">
        <v>40</v>
      </c>
      <c r="I494" t="s">
        <v>82</v>
      </c>
      <c r="J494" t="s">
        <v>47</v>
      </c>
      <c r="K494" t="s">
        <v>196</v>
      </c>
      <c r="L494" t="s">
        <v>59</v>
      </c>
      <c r="M494" t="s">
        <v>116</v>
      </c>
      <c r="N494">
        <v>8</v>
      </c>
      <c r="O494" t="s">
        <v>117</v>
      </c>
      <c r="P494" s="11">
        <v>5900</v>
      </c>
      <c r="Q494" t="s">
        <v>71</v>
      </c>
      <c r="R494" s="11">
        <f t="shared" si="14"/>
        <v>5900</v>
      </c>
      <c r="S494" t="str">
        <f t="shared" si="15"/>
        <v>One-Time</v>
      </c>
    </row>
    <row r="495" spans="1:19" ht="15" customHeight="1" x14ac:dyDescent="0.3">
      <c r="A495">
        <v>494</v>
      </c>
      <c r="B495" t="s">
        <v>814</v>
      </c>
      <c r="C495">
        <v>9913700</v>
      </c>
      <c r="D495" t="s">
        <v>114</v>
      </c>
      <c r="E495">
        <v>28</v>
      </c>
      <c r="F495" t="s">
        <v>75</v>
      </c>
      <c r="G495" s="10">
        <v>45398</v>
      </c>
      <c r="H495" t="s">
        <v>40</v>
      </c>
      <c r="I495" t="s">
        <v>82</v>
      </c>
      <c r="J495" t="s">
        <v>47</v>
      </c>
      <c r="K495" t="s">
        <v>196</v>
      </c>
      <c r="L495" t="s">
        <v>59</v>
      </c>
      <c r="M495" t="s">
        <v>116</v>
      </c>
      <c r="N495">
        <v>9</v>
      </c>
      <c r="O495" t="s">
        <v>117</v>
      </c>
      <c r="P495" s="11">
        <v>5900</v>
      </c>
      <c r="Q495" t="s">
        <v>62</v>
      </c>
      <c r="R495" s="11">
        <f t="shared" si="14"/>
        <v>5900</v>
      </c>
      <c r="S495" t="str">
        <f t="shared" si="15"/>
        <v>One-Time</v>
      </c>
    </row>
    <row r="496" spans="1:19" ht="15" customHeight="1" x14ac:dyDescent="0.3">
      <c r="A496">
        <v>495</v>
      </c>
      <c r="B496" t="s">
        <v>815</v>
      </c>
      <c r="C496">
        <v>6038553</v>
      </c>
      <c r="D496" t="s">
        <v>114</v>
      </c>
      <c r="E496">
        <v>21</v>
      </c>
      <c r="F496" t="s">
        <v>75</v>
      </c>
      <c r="G496" s="10">
        <v>45399</v>
      </c>
      <c r="H496" t="s">
        <v>40</v>
      </c>
      <c r="I496" t="s">
        <v>82</v>
      </c>
      <c r="J496" t="s">
        <v>47</v>
      </c>
      <c r="K496" t="s">
        <v>196</v>
      </c>
      <c r="L496" t="s">
        <v>59</v>
      </c>
      <c r="M496" t="s">
        <v>116</v>
      </c>
      <c r="N496">
        <v>4</v>
      </c>
      <c r="O496" t="s">
        <v>117</v>
      </c>
      <c r="P496" s="11">
        <v>5900</v>
      </c>
      <c r="Q496" t="s">
        <v>816</v>
      </c>
      <c r="R496" s="11">
        <f t="shared" si="14"/>
        <v>5900</v>
      </c>
      <c r="S496" t="str">
        <f t="shared" si="15"/>
        <v>One-Time</v>
      </c>
    </row>
    <row r="497" spans="1:19" ht="15" customHeight="1" x14ac:dyDescent="0.3">
      <c r="A497">
        <v>496</v>
      </c>
      <c r="B497" t="s">
        <v>817</v>
      </c>
      <c r="C497">
        <v>3491457</v>
      </c>
      <c r="D497" t="s">
        <v>114</v>
      </c>
      <c r="E497">
        <v>32</v>
      </c>
      <c r="F497" t="s">
        <v>76</v>
      </c>
      <c r="G497" s="10">
        <v>45400</v>
      </c>
      <c r="H497" t="s">
        <v>40</v>
      </c>
      <c r="I497" t="s">
        <v>82</v>
      </c>
      <c r="J497" t="s">
        <v>47</v>
      </c>
      <c r="K497" t="s">
        <v>196</v>
      </c>
      <c r="L497" t="s">
        <v>59</v>
      </c>
      <c r="M497" t="s">
        <v>116</v>
      </c>
      <c r="N497">
        <v>7</v>
      </c>
      <c r="O497" t="s">
        <v>117</v>
      </c>
      <c r="P497" s="11">
        <v>5900</v>
      </c>
      <c r="Q497" t="s">
        <v>296</v>
      </c>
      <c r="R497" s="11">
        <f t="shared" si="14"/>
        <v>5900</v>
      </c>
      <c r="S497" t="str">
        <f t="shared" si="15"/>
        <v>One-Time</v>
      </c>
    </row>
    <row r="498" spans="1:19" ht="15" customHeight="1" x14ac:dyDescent="0.3">
      <c r="A498">
        <v>497</v>
      </c>
      <c r="B498" t="s">
        <v>818</v>
      </c>
      <c r="C498">
        <v>9395757</v>
      </c>
      <c r="D498" t="s">
        <v>114</v>
      </c>
      <c r="E498">
        <v>47</v>
      </c>
      <c r="F498" t="s">
        <v>76</v>
      </c>
      <c r="G498" s="10">
        <v>45401</v>
      </c>
      <c r="H498" t="s">
        <v>40</v>
      </c>
      <c r="I498" t="s">
        <v>82</v>
      </c>
      <c r="J498" t="s">
        <v>47</v>
      </c>
      <c r="K498" t="s">
        <v>196</v>
      </c>
      <c r="L498" t="s">
        <v>59</v>
      </c>
      <c r="M498" t="s">
        <v>116</v>
      </c>
      <c r="N498">
        <v>8</v>
      </c>
      <c r="O498" t="s">
        <v>117</v>
      </c>
      <c r="P498" s="11">
        <v>5900</v>
      </c>
      <c r="Q498" t="s">
        <v>65</v>
      </c>
      <c r="R498" s="11">
        <f t="shared" si="14"/>
        <v>5900</v>
      </c>
      <c r="S498" t="str">
        <f t="shared" si="15"/>
        <v>One-Time</v>
      </c>
    </row>
    <row r="499" spans="1:19" ht="15" customHeight="1" x14ac:dyDescent="0.3">
      <c r="A499">
        <v>498</v>
      </c>
      <c r="B499" t="s">
        <v>819</v>
      </c>
      <c r="C499">
        <v>5763184</v>
      </c>
      <c r="D499" t="s">
        <v>114</v>
      </c>
      <c r="E499">
        <v>30</v>
      </c>
      <c r="F499" t="s">
        <v>76</v>
      </c>
      <c r="G499" s="10">
        <v>45402</v>
      </c>
      <c r="H499" t="s">
        <v>40</v>
      </c>
      <c r="I499" t="s">
        <v>82</v>
      </c>
      <c r="J499" t="s">
        <v>47</v>
      </c>
      <c r="K499" t="s">
        <v>196</v>
      </c>
      <c r="L499" t="s">
        <v>59</v>
      </c>
      <c r="M499" t="s">
        <v>116</v>
      </c>
      <c r="N499">
        <v>32</v>
      </c>
      <c r="O499" t="s">
        <v>117</v>
      </c>
      <c r="P499" s="11">
        <v>5900</v>
      </c>
      <c r="Q499" t="s">
        <v>68</v>
      </c>
      <c r="R499" s="11">
        <f t="shared" si="14"/>
        <v>5900</v>
      </c>
      <c r="S499" t="str">
        <f t="shared" si="15"/>
        <v>One-Time</v>
      </c>
    </row>
    <row r="500" spans="1:19" ht="15" customHeight="1" x14ac:dyDescent="0.3">
      <c r="A500">
        <v>499</v>
      </c>
      <c r="B500" t="s">
        <v>820</v>
      </c>
      <c r="C500">
        <v>3307096</v>
      </c>
      <c r="D500" t="s">
        <v>114</v>
      </c>
      <c r="E500">
        <v>38</v>
      </c>
      <c r="F500" t="s">
        <v>76</v>
      </c>
      <c r="G500" s="10">
        <v>45403</v>
      </c>
      <c r="H500" t="s">
        <v>40</v>
      </c>
      <c r="I500" t="s">
        <v>82</v>
      </c>
      <c r="J500" t="s">
        <v>47</v>
      </c>
      <c r="K500" t="s">
        <v>196</v>
      </c>
      <c r="L500" t="s">
        <v>59</v>
      </c>
      <c r="M500" t="s">
        <v>116</v>
      </c>
      <c r="N500">
        <v>3</v>
      </c>
      <c r="O500" t="s">
        <v>117</v>
      </c>
      <c r="P500" s="11">
        <v>5900</v>
      </c>
      <c r="Q500" t="s">
        <v>821</v>
      </c>
      <c r="R500" s="11">
        <f t="shared" si="14"/>
        <v>5900</v>
      </c>
      <c r="S500" t="str">
        <f t="shared" si="15"/>
        <v>One-Time</v>
      </c>
    </row>
    <row r="501" spans="1:19" ht="15" customHeight="1" x14ac:dyDescent="0.3">
      <c r="A501">
        <v>500</v>
      </c>
      <c r="B501" t="s">
        <v>822</v>
      </c>
      <c r="C501">
        <v>1646848</v>
      </c>
      <c r="D501" t="s">
        <v>114</v>
      </c>
      <c r="E501">
        <v>56</v>
      </c>
      <c r="F501" t="s">
        <v>77</v>
      </c>
      <c r="G501" s="10">
        <v>45404</v>
      </c>
      <c r="H501" t="s">
        <v>40</v>
      </c>
      <c r="I501" t="s">
        <v>82</v>
      </c>
      <c r="J501" t="s">
        <v>47</v>
      </c>
      <c r="K501" t="s">
        <v>196</v>
      </c>
      <c r="L501" t="s">
        <v>59</v>
      </c>
      <c r="M501" t="s">
        <v>116</v>
      </c>
      <c r="N501">
        <v>48</v>
      </c>
      <c r="O501" t="s">
        <v>117</v>
      </c>
      <c r="P501" s="11">
        <v>5900</v>
      </c>
      <c r="Q501" t="s">
        <v>823</v>
      </c>
      <c r="R501" s="11">
        <f t="shared" si="14"/>
        <v>5900</v>
      </c>
      <c r="S501" t="str">
        <f t="shared" si="15"/>
        <v>One-Time</v>
      </c>
    </row>
    <row r="502" spans="1:19" ht="15" customHeight="1" x14ac:dyDescent="0.3">
      <c r="A502">
        <v>501</v>
      </c>
      <c r="B502" t="s">
        <v>824</v>
      </c>
      <c r="C502">
        <v>6918550</v>
      </c>
      <c r="D502" t="s">
        <v>114</v>
      </c>
      <c r="E502">
        <v>35</v>
      </c>
      <c r="F502" t="s">
        <v>76</v>
      </c>
      <c r="G502" s="10">
        <v>45405</v>
      </c>
      <c r="H502" t="s">
        <v>40</v>
      </c>
      <c r="I502" t="s">
        <v>82</v>
      </c>
      <c r="J502" t="s">
        <v>47</v>
      </c>
      <c r="K502" t="s">
        <v>196</v>
      </c>
      <c r="L502" t="s">
        <v>59</v>
      </c>
      <c r="M502" t="s">
        <v>116</v>
      </c>
      <c r="N502">
        <v>5</v>
      </c>
      <c r="O502" t="s">
        <v>117</v>
      </c>
      <c r="P502" s="11">
        <v>6600</v>
      </c>
      <c r="Q502" t="s">
        <v>64</v>
      </c>
      <c r="R502" s="11">
        <f t="shared" si="14"/>
        <v>6600</v>
      </c>
      <c r="S502" t="str">
        <f t="shared" si="15"/>
        <v>One-Time</v>
      </c>
    </row>
    <row r="503" spans="1:19" ht="15" customHeight="1" x14ac:dyDescent="0.3">
      <c r="A503">
        <v>502</v>
      </c>
      <c r="B503" t="s">
        <v>825</v>
      </c>
      <c r="C503">
        <v>470788</v>
      </c>
      <c r="D503" t="s">
        <v>114</v>
      </c>
      <c r="E503">
        <v>44</v>
      </c>
      <c r="F503" t="s">
        <v>76</v>
      </c>
      <c r="G503" s="10">
        <v>45406</v>
      </c>
      <c r="H503" t="s">
        <v>40</v>
      </c>
      <c r="I503" t="s">
        <v>82</v>
      </c>
      <c r="J503" t="s">
        <v>47</v>
      </c>
      <c r="K503" t="s">
        <v>196</v>
      </c>
      <c r="L503" t="s">
        <v>59</v>
      </c>
      <c r="M503" t="s">
        <v>116</v>
      </c>
      <c r="N503">
        <v>2</v>
      </c>
      <c r="O503" t="s">
        <v>117</v>
      </c>
      <c r="P503" s="11">
        <v>6600</v>
      </c>
      <c r="Q503" t="s">
        <v>601</v>
      </c>
      <c r="R503" s="11">
        <f t="shared" si="14"/>
        <v>6600</v>
      </c>
      <c r="S503" t="str">
        <f t="shared" si="15"/>
        <v>One-Time</v>
      </c>
    </row>
    <row r="504" spans="1:19" ht="15" customHeight="1" x14ac:dyDescent="0.3">
      <c r="A504">
        <v>503</v>
      </c>
      <c r="B504" t="s">
        <v>826</v>
      </c>
      <c r="C504">
        <v>4125863</v>
      </c>
      <c r="D504" t="s">
        <v>114</v>
      </c>
      <c r="E504">
        <v>31</v>
      </c>
      <c r="F504" t="s">
        <v>76</v>
      </c>
      <c r="G504" s="10">
        <v>45407</v>
      </c>
      <c r="H504" t="s">
        <v>40</v>
      </c>
      <c r="I504" t="s">
        <v>82</v>
      </c>
      <c r="J504" t="s">
        <v>47</v>
      </c>
      <c r="K504" t="s">
        <v>196</v>
      </c>
      <c r="L504" t="s">
        <v>59</v>
      </c>
      <c r="M504" t="s">
        <v>116</v>
      </c>
      <c r="N504">
        <v>9</v>
      </c>
      <c r="O504" t="s">
        <v>117</v>
      </c>
      <c r="P504" s="11">
        <v>6600</v>
      </c>
      <c r="Q504" t="s">
        <v>67</v>
      </c>
      <c r="R504" s="11">
        <f t="shared" si="14"/>
        <v>6600</v>
      </c>
      <c r="S504" t="str">
        <f t="shared" si="15"/>
        <v>One-Time</v>
      </c>
    </row>
    <row r="505" spans="1:19" ht="15" customHeight="1" x14ac:dyDescent="0.3">
      <c r="A505">
        <v>504</v>
      </c>
      <c r="B505" t="s">
        <v>827</v>
      </c>
      <c r="C505">
        <v>1619093</v>
      </c>
      <c r="D505" t="s">
        <v>114</v>
      </c>
      <c r="E505">
        <v>44</v>
      </c>
      <c r="F505" t="s">
        <v>76</v>
      </c>
      <c r="G505" s="10">
        <v>45408</v>
      </c>
      <c r="H505" t="s">
        <v>40</v>
      </c>
      <c r="I505" t="s">
        <v>82</v>
      </c>
      <c r="J505" t="s">
        <v>47</v>
      </c>
      <c r="K505" t="s">
        <v>196</v>
      </c>
      <c r="L505" t="s">
        <v>59</v>
      </c>
      <c r="M505" t="s">
        <v>116</v>
      </c>
      <c r="N505">
        <v>7</v>
      </c>
      <c r="O505" t="s">
        <v>117</v>
      </c>
      <c r="P505" s="11">
        <v>6600</v>
      </c>
      <c r="Q505" t="s">
        <v>828</v>
      </c>
      <c r="R505" s="11">
        <f t="shared" si="14"/>
        <v>6600</v>
      </c>
      <c r="S505" t="str">
        <f t="shared" si="15"/>
        <v>Repeat</v>
      </c>
    </row>
    <row r="506" spans="1:19" ht="15" customHeight="1" x14ac:dyDescent="0.3">
      <c r="A506">
        <v>505</v>
      </c>
      <c r="B506" t="s">
        <v>827</v>
      </c>
      <c r="C506">
        <v>1619093</v>
      </c>
      <c r="D506" t="s">
        <v>114</v>
      </c>
      <c r="E506">
        <v>22</v>
      </c>
      <c r="F506" t="s">
        <v>75</v>
      </c>
      <c r="G506" s="10">
        <v>45409</v>
      </c>
      <c r="H506" t="s">
        <v>40</v>
      </c>
      <c r="I506" t="s">
        <v>82</v>
      </c>
      <c r="J506" t="s">
        <v>47</v>
      </c>
      <c r="K506" t="s">
        <v>196</v>
      </c>
      <c r="L506" t="s">
        <v>59</v>
      </c>
      <c r="M506" t="s">
        <v>116</v>
      </c>
      <c r="N506">
        <v>2</v>
      </c>
      <c r="O506" t="s">
        <v>117</v>
      </c>
      <c r="P506" s="11">
        <v>6600</v>
      </c>
      <c r="Q506" t="s">
        <v>829</v>
      </c>
      <c r="R506" s="11">
        <f t="shared" si="14"/>
        <v>6600</v>
      </c>
      <c r="S506" t="str">
        <f t="shared" si="15"/>
        <v>Repeat</v>
      </c>
    </row>
    <row r="507" spans="1:19" ht="15" customHeight="1" x14ac:dyDescent="0.3">
      <c r="A507">
        <v>506</v>
      </c>
      <c r="B507" t="s">
        <v>830</v>
      </c>
      <c r="C507">
        <v>3714219</v>
      </c>
      <c r="D507" t="s">
        <v>114</v>
      </c>
      <c r="E507">
        <v>53</v>
      </c>
      <c r="F507" t="s">
        <v>77</v>
      </c>
      <c r="G507" s="10">
        <v>45410</v>
      </c>
      <c r="H507" t="s">
        <v>40</v>
      </c>
      <c r="I507" t="s">
        <v>85</v>
      </c>
      <c r="J507" t="s">
        <v>47</v>
      </c>
      <c r="K507" t="s">
        <v>196</v>
      </c>
      <c r="L507" t="s">
        <v>59</v>
      </c>
      <c r="M507" t="s">
        <v>116</v>
      </c>
      <c r="N507">
        <v>8</v>
      </c>
      <c r="O507" t="s">
        <v>117</v>
      </c>
      <c r="P507" s="11">
        <v>6600</v>
      </c>
      <c r="Q507" t="s">
        <v>831</v>
      </c>
      <c r="R507" s="11">
        <f t="shared" si="14"/>
        <v>0</v>
      </c>
      <c r="S507" t="str">
        <f t="shared" si="15"/>
        <v>One-Time</v>
      </c>
    </row>
    <row r="508" spans="1:19" ht="15" customHeight="1" x14ac:dyDescent="0.3">
      <c r="A508">
        <v>507</v>
      </c>
      <c r="B508" t="s">
        <v>832</v>
      </c>
      <c r="C508">
        <v>8275680</v>
      </c>
      <c r="D508" t="s">
        <v>114</v>
      </c>
      <c r="E508">
        <v>47</v>
      </c>
      <c r="F508" t="s">
        <v>76</v>
      </c>
      <c r="G508" s="10">
        <v>45411</v>
      </c>
      <c r="H508" t="s">
        <v>40</v>
      </c>
      <c r="I508" t="s">
        <v>82</v>
      </c>
      <c r="J508" t="s">
        <v>47</v>
      </c>
      <c r="K508" t="s">
        <v>196</v>
      </c>
      <c r="L508" t="s">
        <v>59</v>
      </c>
      <c r="M508" t="s">
        <v>116</v>
      </c>
      <c r="N508">
        <v>4</v>
      </c>
      <c r="O508" t="s">
        <v>117</v>
      </c>
      <c r="P508" s="11">
        <v>6600</v>
      </c>
      <c r="Q508" t="s">
        <v>275</v>
      </c>
      <c r="R508" s="11">
        <f t="shared" si="14"/>
        <v>6600</v>
      </c>
      <c r="S508" t="str">
        <f t="shared" si="15"/>
        <v>One-Time</v>
      </c>
    </row>
    <row r="509" spans="1:19" ht="15" customHeight="1" x14ac:dyDescent="0.3">
      <c r="A509">
        <v>508</v>
      </c>
      <c r="B509" t="s">
        <v>833</v>
      </c>
      <c r="C509">
        <v>6032671</v>
      </c>
      <c r="D509" t="s">
        <v>114</v>
      </c>
      <c r="E509">
        <v>34</v>
      </c>
      <c r="F509" t="s">
        <v>76</v>
      </c>
      <c r="G509" s="10">
        <v>45412</v>
      </c>
      <c r="H509" t="s">
        <v>40</v>
      </c>
      <c r="I509" t="s">
        <v>82</v>
      </c>
      <c r="J509" t="s">
        <v>47</v>
      </c>
      <c r="K509" t="s">
        <v>196</v>
      </c>
      <c r="L509" t="s">
        <v>59</v>
      </c>
      <c r="M509" t="s">
        <v>116</v>
      </c>
      <c r="N509">
        <v>5</v>
      </c>
      <c r="O509" t="s">
        <v>117</v>
      </c>
      <c r="P509" s="11">
        <v>6600</v>
      </c>
      <c r="Q509" t="s">
        <v>241</v>
      </c>
      <c r="R509" s="11">
        <f t="shared" si="14"/>
        <v>6600</v>
      </c>
      <c r="S509" t="str">
        <f t="shared" si="15"/>
        <v>One-Time</v>
      </c>
    </row>
    <row r="510" spans="1:19" ht="15" customHeight="1" x14ac:dyDescent="0.3">
      <c r="A510">
        <v>509</v>
      </c>
      <c r="B510" t="s">
        <v>834</v>
      </c>
      <c r="C510">
        <v>6130966</v>
      </c>
      <c r="D510" t="s">
        <v>114</v>
      </c>
      <c r="E510">
        <v>18</v>
      </c>
      <c r="F510" t="s">
        <v>75</v>
      </c>
      <c r="G510" s="10">
        <v>45413</v>
      </c>
      <c r="H510" t="s">
        <v>41</v>
      </c>
      <c r="I510" t="s">
        <v>85</v>
      </c>
      <c r="J510" t="s">
        <v>47</v>
      </c>
      <c r="K510" t="s">
        <v>196</v>
      </c>
      <c r="L510" t="s">
        <v>59</v>
      </c>
      <c r="M510" t="s">
        <v>116</v>
      </c>
      <c r="N510">
        <v>6</v>
      </c>
      <c r="O510" t="s">
        <v>117</v>
      </c>
      <c r="P510" s="11">
        <v>6600</v>
      </c>
      <c r="Q510" t="s">
        <v>835</v>
      </c>
      <c r="R510" s="11">
        <f t="shared" si="14"/>
        <v>0</v>
      </c>
      <c r="S510" t="str">
        <f t="shared" si="15"/>
        <v>One-Time</v>
      </c>
    </row>
    <row r="511" spans="1:19" ht="15" customHeight="1" x14ac:dyDescent="0.3">
      <c r="A511">
        <v>510</v>
      </c>
      <c r="B511" t="s">
        <v>836</v>
      </c>
      <c r="C511">
        <v>193925</v>
      </c>
      <c r="D511" t="s">
        <v>114</v>
      </c>
      <c r="E511">
        <v>68</v>
      </c>
      <c r="F511" t="s">
        <v>77</v>
      </c>
      <c r="G511" s="10">
        <v>45414</v>
      </c>
      <c r="H511" t="s">
        <v>41</v>
      </c>
      <c r="I511" t="s">
        <v>82</v>
      </c>
      <c r="J511" t="s">
        <v>47</v>
      </c>
      <c r="K511" t="s">
        <v>196</v>
      </c>
      <c r="L511" t="s">
        <v>59</v>
      </c>
      <c r="M511" t="s">
        <v>116</v>
      </c>
      <c r="N511">
        <v>31</v>
      </c>
      <c r="O511" t="s">
        <v>117</v>
      </c>
      <c r="P511" s="11">
        <v>6600</v>
      </c>
      <c r="Q511" t="s">
        <v>837</v>
      </c>
      <c r="R511" s="11">
        <f t="shared" si="14"/>
        <v>6600</v>
      </c>
      <c r="S511" t="str">
        <f t="shared" si="15"/>
        <v>One-Time</v>
      </c>
    </row>
    <row r="512" spans="1:19" ht="15" customHeight="1" x14ac:dyDescent="0.3">
      <c r="A512">
        <v>511</v>
      </c>
      <c r="B512" t="s">
        <v>838</v>
      </c>
      <c r="C512">
        <v>5373067</v>
      </c>
      <c r="D512" t="s">
        <v>114</v>
      </c>
      <c r="E512">
        <v>61</v>
      </c>
      <c r="F512" t="s">
        <v>77</v>
      </c>
      <c r="G512" s="10">
        <v>45415</v>
      </c>
      <c r="H512" t="s">
        <v>41</v>
      </c>
      <c r="I512" t="s">
        <v>82</v>
      </c>
      <c r="J512" t="s">
        <v>47</v>
      </c>
      <c r="K512" t="s">
        <v>196</v>
      </c>
      <c r="L512" t="s">
        <v>59</v>
      </c>
      <c r="M512" t="s">
        <v>116</v>
      </c>
      <c r="N512">
        <v>2</v>
      </c>
      <c r="O512" t="s">
        <v>117</v>
      </c>
      <c r="P512" s="11">
        <v>6600</v>
      </c>
      <c r="Q512" t="s">
        <v>118</v>
      </c>
      <c r="R512" s="11">
        <f t="shared" si="14"/>
        <v>6600</v>
      </c>
      <c r="S512" t="str">
        <f t="shared" si="15"/>
        <v>One-Time</v>
      </c>
    </row>
    <row r="513" spans="1:19" ht="15" customHeight="1" x14ac:dyDescent="0.3">
      <c r="A513">
        <v>512</v>
      </c>
      <c r="B513" t="s">
        <v>839</v>
      </c>
      <c r="C513">
        <v>8119281</v>
      </c>
      <c r="D513" t="s">
        <v>114</v>
      </c>
      <c r="E513">
        <v>34</v>
      </c>
      <c r="F513" t="s">
        <v>76</v>
      </c>
      <c r="G513" s="10">
        <v>45416</v>
      </c>
      <c r="H513" t="s">
        <v>41</v>
      </c>
      <c r="I513" t="s">
        <v>82</v>
      </c>
      <c r="J513" t="s">
        <v>47</v>
      </c>
      <c r="K513" t="s">
        <v>196</v>
      </c>
      <c r="L513" t="s">
        <v>59</v>
      </c>
      <c r="M513" t="s">
        <v>116</v>
      </c>
      <c r="N513">
        <v>5</v>
      </c>
      <c r="O513" t="s">
        <v>117</v>
      </c>
      <c r="P513" s="11">
        <v>6600</v>
      </c>
      <c r="Q513" t="s">
        <v>62</v>
      </c>
      <c r="R513" s="11">
        <f t="shared" si="14"/>
        <v>6600</v>
      </c>
      <c r="S513" t="str">
        <f t="shared" si="15"/>
        <v>One-Time</v>
      </c>
    </row>
    <row r="514" spans="1:19" ht="15" customHeight="1" x14ac:dyDescent="0.3">
      <c r="A514">
        <v>513</v>
      </c>
      <c r="B514" t="s">
        <v>840</v>
      </c>
      <c r="C514">
        <v>1994630</v>
      </c>
      <c r="D514" t="s">
        <v>114</v>
      </c>
      <c r="E514">
        <v>22</v>
      </c>
      <c r="F514" t="s">
        <v>75</v>
      </c>
      <c r="G514" s="10">
        <v>45417</v>
      </c>
      <c r="H514" t="s">
        <v>41</v>
      </c>
      <c r="I514" t="s">
        <v>82</v>
      </c>
      <c r="J514" t="s">
        <v>47</v>
      </c>
      <c r="K514" t="s">
        <v>196</v>
      </c>
      <c r="L514" t="s">
        <v>59</v>
      </c>
      <c r="M514" t="s">
        <v>116</v>
      </c>
      <c r="N514">
        <v>5</v>
      </c>
      <c r="O514" t="s">
        <v>117</v>
      </c>
      <c r="P514" s="11">
        <v>6600</v>
      </c>
      <c r="Q514" t="s">
        <v>62</v>
      </c>
      <c r="R514" s="11">
        <f t="shared" ref="R514:R577" si="16">IF(I514="Delivered",P514,0)</f>
        <v>6600</v>
      </c>
      <c r="S514" t="str">
        <f t="shared" ref="S514:S577" si="17">IF(COUNTIF($C$2:$C$1501,C514)&gt;1,"Repeat","One-Time")</f>
        <v>One-Time</v>
      </c>
    </row>
    <row r="515" spans="1:19" ht="15" customHeight="1" x14ac:dyDescent="0.3">
      <c r="A515">
        <v>514</v>
      </c>
      <c r="B515" t="s">
        <v>841</v>
      </c>
      <c r="C515">
        <v>4549965</v>
      </c>
      <c r="D515" t="s">
        <v>114</v>
      </c>
      <c r="E515">
        <v>40</v>
      </c>
      <c r="F515" t="s">
        <v>76</v>
      </c>
      <c r="G515" s="10">
        <v>45418</v>
      </c>
      <c r="H515" t="s">
        <v>41</v>
      </c>
      <c r="I515" t="s">
        <v>82</v>
      </c>
      <c r="J515" t="s">
        <v>47</v>
      </c>
      <c r="K515" t="s">
        <v>196</v>
      </c>
      <c r="L515" t="s">
        <v>59</v>
      </c>
      <c r="M515" t="s">
        <v>116</v>
      </c>
      <c r="N515">
        <v>8</v>
      </c>
      <c r="O515" t="s">
        <v>117</v>
      </c>
      <c r="P515" s="11">
        <v>6600</v>
      </c>
      <c r="Q515" t="s">
        <v>67</v>
      </c>
      <c r="R515" s="11">
        <f t="shared" si="16"/>
        <v>6600</v>
      </c>
      <c r="S515" t="str">
        <f t="shared" si="17"/>
        <v>One-Time</v>
      </c>
    </row>
    <row r="516" spans="1:19" ht="15" customHeight="1" x14ac:dyDescent="0.3">
      <c r="A516">
        <v>515</v>
      </c>
      <c r="B516" t="s">
        <v>842</v>
      </c>
      <c r="C516">
        <v>8673</v>
      </c>
      <c r="D516" t="s">
        <v>114</v>
      </c>
      <c r="E516">
        <v>39</v>
      </c>
      <c r="F516" t="s">
        <v>76</v>
      </c>
      <c r="G516" s="10">
        <v>45419</v>
      </c>
      <c r="H516" t="s">
        <v>41</v>
      </c>
      <c r="I516" t="s">
        <v>82</v>
      </c>
      <c r="J516" t="s">
        <v>47</v>
      </c>
      <c r="K516" t="s">
        <v>196</v>
      </c>
      <c r="L516" t="s">
        <v>59</v>
      </c>
      <c r="M516" t="s">
        <v>116</v>
      </c>
      <c r="N516">
        <v>9</v>
      </c>
      <c r="O516" t="s">
        <v>117</v>
      </c>
      <c r="P516" s="11">
        <v>6600</v>
      </c>
      <c r="Q516" t="s">
        <v>666</v>
      </c>
      <c r="R516" s="11">
        <f t="shared" si="16"/>
        <v>6600</v>
      </c>
      <c r="S516" t="str">
        <f t="shared" si="17"/>
        <v>One-Time</v>
      </c>
    </row>
    <row r="517" spans="1:19" ht="15" customHeight="1" x14ac:dyDescent="0.3">
      <c r="A517">
        <v>516</v>
      </c>
      <c r="B517" t="s">
        <v>843</v>
      </c>
      <c r="C517">
        <v>4166762</v>
      </c>
      <c r="D517" t="s">
        <v>114</v>
      </c>
      <c r="E517">
        <v>59</v>
      </c>
      <c r="F517" t="s">
        <v>77</v>
      </c>
      <c r="G517" s="10">
        <v>45420</v>
      </c>
      <c r="H517" t="s">
        <v>41</v>
      </c>
      <c r="I517" t="s">
        <v>82</v>
      </c>
      <c r="J517" t="s">
        <v>47</v>
      </c>
      <c r="K517" t="s">
        <v>196</v>
      </c>
      <c r="L517" t="s">
        <v>59</v>
      </c>
      <c r="M517" t="s">
        <v>116</v>
      </c>
      <c r="N517">
        <v>8</v>
      </c>
      <c r="O517" t="s">
        <v>117</v>
      </c>
      <c r="P517" s="11">
        <v>6600</v>
      </c>
      <c r="Q517" t="s">
        <v>300</v>
      </c>
      <c r="R517" s="11">
        <f t="shared" si="16"/>
        <v>6600</v>
      </c>
      <c r="S517" t="str">
        <f t="shared" si="17"/>
        <v>One-Time</v>
      </c>
    </row>
    <row r="518" spans="1:19" ht="15" customHeight="1" x14ac:dyDescent="0.3">
      <c r="A518">
        <v>517</v>
      </c>
      <c r="B518" t="s">
        <v>844</v>
      </c>
      <c r="C518">
        <v>8960622</v>
      </c>
      <c r="D518" t="s">
        <v>114</v>
      </c>
      <c r="E518">
        <v>46</v>
      </c>
      <c r="F518" t="s">
        <v>76</v>
      </c>
      <c r="G518" s="10">
        <v>45421</v>
      </c>
      <c r="H518" t="s">
        <v>41</v>
      </c>
      <c r="I518" t="s">
        <v>82</v>
      </c>
      <c r="J518" t="s">
        <v>47</v>
      </c>
      <c r="K518" t="s">
        <v>196</v>
      </c>
      <c r="L518" t="s">
        <v>59</v>
      </c>
      <c r="M518" t="s">
        <v>116</v>
      </c>
      <c r="N518">
        <v>3</v>
      </c>
      <c r="O518" t="s">
        <v>117</v>
      </c>
      <c r="P518" s="11">
        <v>6600</v>
      </c>
      <c r="Q518" t="s">
        <v>62</v>
      </c>
      <c r="R518" s="11">
        <f t="shared" si="16"/>
        <v>6600</v>
      </c>
      <c r="S518" t="str">
        <f t="shared" si="17"/>
        <v>One-Time</v>
      </c>
    </row>
    <row r="519" spans="1:19" ht="15" customHeight="1" x14ac:dyDescent="0.3">
      <c r="A519">
        <v>518</v>
      </c>
      <c r="B519" t="s">
        <v>845</v>
      </c>
      <c r="C519">
        <v>634942</v>
      </c>
      <c r="D519" t="s">
        <v>114</v>
      </c>
      <c r="E519">
        <v>66</v>
      </c>
      <c r="F519" t="s">
        <v>77</v>
      </c>
      <c r="G519" s="10">
        <v>45422</v>
      </c>
      <c r="H519" t="s">
        <v>41</v>
      </c>
      <c r="I519" t="s">
        <v>82</v>
      </c>
      <c r="J519" t="s">
        <v>47</v>
      </c>
      <c r="K519" t="s">
        <v>179</v>
      </c>
      <c r="L519" t="s">
        <v>59</v>
      </c>
      <c r="M519" t="s">
        <v>116</v>
      </c>
      <c r="N519">
        <v>4</v>
      </c>
      <c r="O519" t="s">
        <v>117</v>
      </c>
      <c r="P519" s="11">
        <v>6600</v>
      </c>
      <c r="Q519" t="s">
        <v>846</v>
      </c>
      <c r="R519" s="11">
        <f t="shared" si="16"/>
        <v>6600</v>
      </c>
      <c r="S519" t="str">
        <f t="shared" si="17"/>
        <v>One-Time</v>
      </c>
    </row>
    <row r="520" spans="1:19" ht="15" customHeight="1" x14ac:dyDescent="0.3">
      <c r="A520">
        <v>519</v>
      </c>
      <c r="B520" t="s">
        <v>847</v>
      </c>
      <c r="C520">
        <v>5158965</v>
      </c>
      <c r="D520" t="s">
        <v>114</v>
      </c>
      <c r="E520">
        <v>19</v>
      </c>
      <c r="F520" t="s">
        <v>75</v>
      </c>
      <c r="G520" s="10">
        <v>45423</v>
      </c>
      <c r="H520" t="s">
        <v>41</v>
      </c>
      <c r="I520" t="s">
        <v>82</v>
      </c>
      <c r="J520" t="s">
        <v>47</v>
      </c>
      <c r="K520" t="s">
        <v>179</v>
      </c>
      <c r="L520" t="s">
        <v>59</v>
      </c>
      <c r="M520" t="s">
        <v>116</v>
      </c>
      <c r="N520">
        <v>4</v>
      </c>
      <c r="O520" t="s">
        <v>117</v>
      </c>
      <c r="P520" s="11">
        <v>6600</v>
      </c>
      <c r="Q520" t="s">
        <v>65</v>
      </c>
      <c r="R520" s="11">
        <f t="shared" si="16"/>
        <v>6600</v>
      </c>
      <c r="S520" t="str">
        <f t="shared" si="17"/>
        <v>One-Time</v>
      </c>
    </row>
    <row r="521" spans="1:19" ht="15" customHeight="1" x14ac:dyDescent="0.3">
      <c r="A521">
        <v>520</v>
      </c>
      <c r="B521" t="s">
        <v>848</v>
      </c>
      <c r="C521">
        <v>5490746</v>
      </c>
      <c r="D521" t="s">
        <v>114</v>
      </c>
      <c r="E521">
        <v>29</v>
      </c>
      <c r="F521" t="s">
        <v>75</v>
      </c>
      <c r="G521" s="10">
        <v>45424</v>
      </c>
      <c r="H521" t="s">
        <v>41</v>
      </c>
      <c r="I521" t="s">
        <v>82</v>
      </c>
      <c r="J521" t="s">
        <v>47</v>
      </c>
      <c r="K521" t="s">
        <v>179</v>
      </c>
      <c r="L521" t="s">
        <v>59</v>
      </c>
      <c r="M521" t="s">
        <v>116</v>
      </c>
      <c r="N521">
        <v>9</v>
      </c>
      <c r="O521" t="s">
        <v>117</v>
      </c>
      <c r="P521" s="11">
        <v>6600</v>
      </c>
      <c r="Q521" t="s">
        <v>441</v>
      </c>
      <c r="R521" s="11">
        <f t="shared" si="16"/>
        <v>6600</v>
      </c>
      <c r="S521" t="str">
        <f t="shared" si="17"/>
        <v>One-Time</v>
      </c>
    </row>
    <row r="522" spans="1:19" ht="15" customHeight="1" x14ac:dyDescent="0.3">
      <c r="A522">
        <v>521</v>
      </c>
      <c r="B522" t="s">
        <v>849</v>
      </c>
      <c r="C522">
        <v>7528511</v>
      </c>
      <c r="D522" t="s">
        <v>114</v>
      </c>
      <c r="E522">
        <v>45</v>
      </c>
      <c r="F522" t="s">
        <v>76</v>
      </c>
      <c r="G522" s="10">
        <v>45425</v>
      </c>
      <c r="H522" t="s">
        <v>41</v>
      </c>
      <c r="I522" t="s">
        <v>82</v>
      </c>
      <c r="J522" t="s">
        <v>47</v>
      </c>
      <c r="K522" t="s">
        <v>179</v>
      </c>
      <c r="L522" t="s">
        <v>59</v>
      </c>
      <c r="M522" t="s">
        <v>116</v>
      </c>
      <c r="N522">
        <v>8</v>
      </c>
      <c r="O522" t="s">
        <v>117</v>
      </c>
      <c r="P522" s="11">
        <v>6600</v>
      </c>
      <c r="Q522" t="s">
        <v>850</v>
      </c>
      <c r="R522" s="11">
        <f t="shared" si="16"/>
        <v>6600</v>
      </c>
      <c r="S522" t="str">
        <f t="shared" si="17"/>
        <v>One-Time</v>
      </c>
    </row>
    <row r="523" spans="1:19" ht="15" customHeight="1" x14ac:dyDescent="0.3">
      <c r="A523">
        <v>522</v>
      </c>
      <c r="B523" t="s">
        <v>851</v>
      </c>
      <c r="C523">
        <v>4047531</v>
      </c>
      <c r="D523" t="s">
        <v>114</v>
      </c>
      <c r="E523">
        <v>25</v>
      </c>
      <c r="F523" t="s">
        <v>75</v>
      </c>
      <c r="G523" s="10">
        <v>45426</v>
      </c>
      <c r="H523" t="s">
        <v>41</v>
      </c>
      <c r="I523" t="s">
        <v>82</v>
      </c>
      <c r="J523" t="s">
        <v>47</v>
      </c>
      <c r="K523" t="s">
        <v>179</v>
      </c>
      <c r="L523" t="s">
        <v>59</v>
      </c>
      <c r="M523" t="s">
        <v>116</v>
      </c>
      <c r="N523">
        <v>3</v>
      </c>
      <c r="O523" t="s">
        <v>117</v>
      </c>
      <c r="P523" s="11">
        <v>6600</v>
      </c>
      <c r="Q523" t="s">
        <v>852</v>
      </c>
      <c r="R523" s="11">
        <f t="shared" si="16"/>
        <v>6600</v>
      </c>
      <c r="S523" t="str">
        <f t="shared" si="17"/>
        <v>One-Time</v>
      </c>
    </row>
    <row r="524" spans="1:19" ht="15" customHeight="1" x14ac:dyDescent="0.3">
      <c r="A524">
        <v>523</v>
      </c>
      <c r="B524" t="s">
        <v>853</v>
      </c>
      <c r="C524">
        <v>2277333</v>
      </c>
      <c r="D524" t="s">
        <v>114</v>
      </c>
      <c r="E524">
        <v>54</v>
      </c>
      <c r="F524" t="s">
        <v>77</v>
      </c>
      <c r="G524" s="10">
        <v>45427</v>
      </c>
      <c r="H524" t="s">
        <v>41</v>
      </c>
      <c r="I524" t="s">
        <v>82</v>
      </c>
      <c r="J524" t="s">
        <v>47</v>
      </c>
      <c r="K524" t="s">
        <v>179</v>
      </c>
      <c r="L524" t="s">
        <v>59</v>
      </c>
      <c r="M524" t="s">
        <v>116</v>
      </c>
      <c r="N524">
        <v>6</v>
      </c>
      <c r="O524" t="s">
        <v>117</v>
      </c>
      <c r="P524" s="11">
        <v>6900</v>
      </c>
      <c r="Q524" t="s">
        <v>749</v>
      </c>
      <c r="R524" s="11">
        <f t="shared" si="16"/>
        <v>6900</v>
      </c>
      <c r="S524" t="str">
        <f t="shared" si="17"/>
        <v>One-Time</v>
      </c>
    </row>
    <row r="525" spans="1:19" ht="15" customHeight="1" x14ac:dyDescent="0.3">
      <c r="A525">
        <v>524</v>
      </c>
      <c r="B525" t="s">
        <v>854</v>
      </c>
      <c r="C525">
        <v>6993353</v>
      </c>
      <c r="D525" t="s">
        <v>114</v>
      </c>
      <c r="E525">
        <v>33</v>
      </c>
      <c r="F525" t="s">
        <v>76</v>
      </c>
      <c r="G525" s="10">
        <v>45428</v>
      </c>
      <c r="H525" t="s">
        <v>41</v>
      </c>
      <c r="I525" t="s">
        <v>82</v>
      </c>
      <c r="J525" t="s">
        <v>47</v>
      </c>
      <c r="K525" t="s">
        <v>179</v>
      </c>
      <c r="L525" t="s">
        <v>59</v>
      </c>
      <c r="M525" t="s">
        <v>116</v>
      </c>
      <c r="N525">
        <v>9</v>
      </c>
      <c r="O525" t="s">
        <v>117</v>
      </c>
      <c r="P525" s="11">
        <v>6900</v>
      </c>
      <c r="Q525" t="s">
        <v>313</v>
      </c>
      <c r="R525" s="11">
        <f t="shared" si="16"/>
        <v>6900</v>
      </c>
      <c r="S525" t="str">
        <f t="shared" si="17"/>
        <v>One-Time</v>
      </c>
    </row>
    <row r="526" spans="1:19" ht="15" customHeight="1" x14ac:dyDescent="0.3">
      <c r="A526">
        <v>525</v>
      </c>
      <c r="B526" t="s">
        <v>855</v>
      </c>
      <c r="C526">
        <v>7209804</v>
      </c>
      <c r="D526" t="s">
        <v>114</v>
      </c>
      <c r="E526">
        <v>24</v>
      </c>
      <c r="F526" t="s">
        <v>75</v>
      </c>
      <c r="G526" s="10">
        <v>45429</v>
      </c>
      <c r="H526" t="s">
        <v>41</v>
      </c>
      <c r="I526" t="s">
        <v>85</v>
      </c>
      <c r="J526" t="s">
        <v>47</v>
      </c>
      <c r="K526" t="s">
        <v>179</v>
      </c>
      <c r="L526" t="s">
        <v>59</v>
      </c>
      <c r="M526" t="s">
        <v>116</v>
      </c>
      <c r="N526">
        <v>2</v>
      </c>
      <c r="O526" t="s">
        <v>117</v>
      </c>
      <c r="P526" s="11">
        <v>6900</v>
      </c>
      <c r="Q526" t="s">
        <v>62</v>
      </c>
      <c r="R526" s="11">
        <f t="shared" si="16"/>
        <v>0</v>
      </c>
      <c r="S526" t="str">
        <f t="shared" si="17"/>
        <v>One-Time</v>
      </c>
    </row>
    <row r="527" spans="1:19" ht="15" customHeight="1" x14ac:dyDescent="0.3">
      <c r="A527">
        <v>526</v>
      </c>
      <c r="B527" t="s">
        <v>856</v>
      </c>
      <c r="C527">
        <v>2721307</v>
      </c>
      <c r="D527" t="s">
        <v>114</v>
      </c>
      <c r="E527">
        <v>28</v>
      </c>
      <c r="F527" t="s">
        <v>75</v>
      </c>
      <c r="G527" s="10">
        <v>45430</v>
      </c>
      <c r="H527" t="s">
        <v>41</v>
      </c>
      <c r="I527" t="s">
        <v>82</v>
      </c>
      <c r="J527" t="s">
        <v>47</v>
      </c>
      <c r="K527" t="s">
        <v>179</v>
      </c>
      <c r="L527" t="s">
        <v>60</v>
      </c>
      <c r="M527" t="s">
        <v>116</v>
      </c>
      <c r="N527">
        <v>5</v>
      </c>
      <c r="O527" t="s">
        <v>117</v>
      </c>
      <c r="P527" s="11">
        <v>6900</v>
      </c>
      <c r="Q527" t="s">
        <v>857</v>
      </c>
      <c r="R527" s="11">
        <f t="shared" si="16"/>
        <v>6900</v>
      </c>
      <c r="S527" t="str">
        <f t="shared" si="17"/>
        <v>One-Time</v>
      </c>
    </row>
    <row r="528" spans="1:19" ht="15" customHeight="1" x14ac:dyDescent="0.3">
      <c r="A528">
        <v>527</v>
      </c>
      <c r="B528" t="s">
        <v>858</v>
      </c>
      <c r="C528">
        <v>4244576</v>
      </c>
      <c r="D528" t="s">
        <v>114</v>
      </c>
      <c r="E528">
        <v>40</v>
      </c>
      <c r="F528" t="s">
        <v>76</v>
      </c>
      <c r="G528" s="10">
        <v>45431</v>
      </c>
      <c r="H528" t="s">
        <v>41</v>
      </c>
      <c r="I528" t="s">
        <v>82</v>
      </c>
      <c r="J528" t="s">
        <v>47</v>
      </c>
      <c r="K528" t="s">
        <v>179</v>
      </c>
      <c r="L528" t="s">
        <v>60</v>
      </c>
      <c r="M528" t="s">
        <v>116</v>
      </c>
      <c r="N528">
        <v>6</v>
      </c>
      <c r="O528" t="s">
        <v>117</v>
      </c>
      <c r="P528" s="11">
        <v>6900</v>
      </c>
      <c r="Q528" t="s">
        <v>66</v>
      </c>
      <c r="R528" s="11">
        <f t="shared" si="16"/>
        <v>6900</v>
      </c>
      <c r="S528" t="str">
        <f t="shared" si="17"/>
        <v>One-Time</v>
      </c>
    </row>
    <row r="529" spans="1:19" ht="15" customHeight="1" x14ac:dyDescent="0.3">
      <c r="A529">
        <v>528</v>
      </c>
      <c r="B529" t="s">
        <v>859</v>
      </c>
      <c r="C529">
        <v>6685847</v>
      </c>
      <c r="D529" t="s">
        <v>114</v>
      </c>
      <c r="E529">
        <v>28</v>
      </c>
      <c r="F529" t="s">
        <v>75</v>
      </c>
      <c r="G529" s="10">
        <v>45432</v>
      </c>
      <c r="H529" t="s">
        <v>41</v>
      </c>
      <c r="I529" t="s">
        <v>82</v>
      </c>
      <c r="J529" t="s">
        <v>47</v>
      </c>
      <c r="K529" t="s">
        <v>179</v>
      </c>
      <c r="L529" t="s">
        <v>60</v>
      </c>
      <c r="M529" t="s">
        <v>116</v>
      </c>
      <c r="N529">
        <v>9</v>
      </c>
      <c r="O529" t="s">
        <v>117</v>
      </c>
      <c r="P529" s="11">
        <v>6900</v>
      </c>
      <c r="Q529" t="s">
        <v>65</v>
      </c>
      <c r="R529" s="11">
        <f t="shared" si="16"/>
        <v>6900</v>
      </c>
      <c r="S529" t="str">
        <f t="shared" si="17"/>
        <v>Repeat</v>
      </c>
    </row>
    <row r="530" spans="1:19" ht="15" customHeight="1" x14ac:dyDescent="0.3">
      <c r="A530">
        <v>529</v>
      </c>
      <c r="B530" t="s">
        <v>859</v>
      </c>
      <c r="C530">
        <v>6685847</v>
      </c>
      <c r="D530" t="s">
        <v>114</v>
      </c>
      <c r="E530">
        <v>24</v>
      </c>
      <c r="F530" t="s">
        <v>75</v>
      </c>
      <c r="G530" s="10">
        <v>45433</v>
      </c>
      <c r="H530" t="s">
        <v>41</v>
      </c>
      <c r="I530" t="s">
        <v>82</v>
      </c>
      <c r="J530" t="s">
        <v>47</v>
      </c>
      <c r="K530" t="s">
        <v>179</v>
      </c>
      <c r="L530" t="s">
        <v>56</v>
      </c>
      <c r="M530" t="s">
        <v>116</v>
      </c>
      <c r="N530">
        <v>7</v>
      </c>
      <c r="O530" t="s">
        <v>117</v>
      </c>
      <c r="P530" s="11">
        <v>6900</v>
      </c>
      <c r="Q530" t="s">
        <v>250</v>
      </c>
      <c r="R530" s="11">
        <f t="shared" si="16"/>
        <v>6900</v>
      </c>
      <c r="S530" t="str">
        <f t="shared" si="17"/>
        <v>Repeat</v>
      </c>
    </row>
    <row r="531" spans="1:19" ht="15" customHeight="1" x14ac:dyDescent="0.3">
      <c r="A531">
        <v>530</v>
      </c>
      <c r="B531" t="s">
        <v>860</v>
      </c>
      <c r="C531">
        <v>1981568</v>
      </c>
      <c r="D531" t="s">
        <v>114</v>
      </c>
      <c r="E531">
        <v>40</v>
      </c>
      <c r="F531" t="s">
        <v>76</v>
      </c>
      <c r="G531" s="10">
        <v>45434</v>
      </c>
      <c r="H531" t="s">
        <v>41</v>
      </c>
      <c r="I531" t="s">
        <v>82</v>
      </c>
      <c r="J531" t="s">
        <v>47</v>
      </c>
      <c r="K531" t="s">
        <v>179</v>
      </c>
      <c r="L531" t="s">
        <v>56</v>
      </c>
      <c r="M531" t="s">
        <v>116</v>
      </c>
      <c r="N531">
        <v>81</v>
      </c>
      <c r="O531" t="s">
        <v>117</v>
      </c>
      <c r="P531" s="11">
        <v>6900</v>
      </c>
      <c r="Q531" t="s">
        <v>66</v>
      </c>
      <c r="R531" s="11">
        <f t="shared" si="16"/>
        <v>6900</v>
      </c>
      <c r="S531" t="str">
        <f t="shared" si="17"/>
        <v>One-Time</v>
      </c>
    </row>
    <row r="532" spans="1:19" ht="15" customHeight="1" x14ac:dyDescent="0.3">
      <c r="A532">
        <v>531</v>
      </c>
      <c r="B532" t="s">
        <v>861</v>
      </c>
      <c r="C532">
        <v>205757</v>
      </c>
      <c r="D532" t="s">
        <v>114</v>
      </c>
      <c r="E532">
        <v>40</v>
      </c>
      <c r="F532" t="s">
        <v>76</v>
      </c>
      <c r="G532" s="10">
        <v>45435</v>
      </c>
      <c r="H532" t="s">
        <v>41</v>
      </c>
      <c r="I532" t="s">
        <v>82</v>
      </c>
      <c r="J532" t="s">
        <v>47</v>
      </c>
      <c r="K532" t="s">
        <v>190</v>
      </c>
      <c r="L532" t="s">
        <v>56</v>
      </c>
      <c r="M532" t="s">
        <v>116</v>
      </c>
      <c r="N532">
        <v>24</v>
      </c>
      <c r="O532" t="s">
        <v>117</v>
      </c>
      <c r="P532" s="11">
        <v>6900</v>
      </c>
      <c r="Q532" t="s">
        <v>278</v>
      </c>
      <c r="R532" s="11">
        <f t="shared" si="16"/>
        <v>6900</v>
      </c>
      <c r="S532" t="str">
        <f t="shared" si="17"/>
        <v>One-Time</v>
      </c>
    </row>
    <row r="533" spans="1:19" ht="15" customHeight="1" x14ac:dyDescent="0.3">
      <c r="A533">
        <v>532</v>
      </c>
      <c r="B533" t="s">
        <v>862</v>
      </c>
      <c r="C533">
        <v>2303396</v>
      </c>
      <c r="D533" t="s">
        <v>114</v>
      </c>
      <c r="E533">
        <v>53</v>
      </c>
      <c r="F533" t="s">
        <v>77</v>
      </c>
      <c r="G533" s="10">
        <v>45436</v>
      </c>
      <c r="H533" t="s">
        <v>41</v>
      </c>
      <c r="I533" t="s">
        <v>82</v>
      </c>
      <c r="J533" t="s">
        <v>47</v>
      </c>
      <c r="K533" t="s">
        <v>190</v>
      </c>
      <c r="L533" t="s">
        <v>56</v>
      </c>
      <c r="M533" t="s">
        <v>116</v>
      </c>
      <c r="N533">
        <v>56</v>
      </c>
      <c r="O533" t="s">
        <v>117</v>
      </c>
      <c r="P533" s="11">
        <v>6900</v>
      </c>
      <c r="Q533" t="s">
        <v>268</v>
      </c>
      <c r="R533" s="11">
        <f t="shared" si="16"/>
        <v>6900</v>
      </c>
      <c r="S533" t="str">
        <f t="shared" si="17"/>
        <v>One-Time</v>
      </c>
    </row>
    <row r="534" spans="1:19" ht="15" customHeight="1" x14ac:dyDescent="0.3">
      <c r="A534">
        <v>533</v>
      </c>
      <c r="B534" t="s">
        <v>863</v>
      </c>
      <c r="C534">
        <v>3553137</v>
      </c>
      <c r="D534" t="s">
        <v>114</v>
      </c>
      <c r="E534">
        <v>26</v>
      </c>
      <c r="F534" t="s">
        <v>75</v>
      </c>
      <c r="G534" s="10">
        <v>45437</v>
      </c>
      <c r="H534" t="s">
        <v>41</v>
      </c>
      <c r="I534" t="s">
        <v>82</v>
      </c>
      <c r="J534" t="s">
        <v>47</v>
      </c>
      <c r="K534" t="s">
        <v>190</v>
      </c>
      <c r="L534" t="s">
        <v>56</v>
      </c>
      <c r="M534" t="s">
        <v>116</v>
      </c>
      <c r="N534">
        <v>55</v>
      </c>
      <c r="O534" t="s">
        <v>117</v>
      </c>
      <c r="P534" s="11">
        <v>6900</v>
      </c>
      <c r="Q534" t="s">
        <v>62</v>
      </c>
      <c r="R534" s="11">
        <f t="shared" si="16"/>
        <v>6900</v>
      </c>
      <c r="S534" t="str">
        <f t="shared" si="17"/>
        <v>One-Time</v>
      </c>
    </row>
    <row r="535" spans="1:19" ht="15" customHeight="1" x14ac:dyDescent="0.3">
      <c r="A535">
        <v>534</v>
      </c>
      <c r="B535" t="s">
        <v>864</v>
      </c>
      <c r="C535">
        <v>7882707</v>
      </c>
      <c r="D535" t="s">
        <v>114</v>
      </c>
      <c r="E535">
        <v>78</v>
      </c>
      <c r="F535" t="s">
        <v>77</v>
      </c>
      <c r="G535" s="10">
        <v>45438</v>
      </c>
      <c r="H535" t="s">
        <v>41</v>
      </c>
      <c r="I535" t="s">
        <v>82</v>
      </c>
      <c r="J535" t="s">
        <v>47</v>
      </c>
      <c r="K535" t="s">
        <v>190</v>
      </c>
      <c r="L535" t="s">
        <v>56</v>
      </c>
      <c r="M535" t="s">
        <v>122</v>
      </c>
      <c r="N535">
        <v>5</v>
      </c>
      <c r="O535" t="s">
        <v>117</v>
      </c>
      <c r="P535" s="11">
        <v>6900</v>
      </c>
      <c r="Q535" t="s">
        <v>65</v>
      </c>
      <c r="R535" s="11">
        <f t="shared" si="16"/>
        <v>6900</v>
      </c>
      <c r="S535" t="str">
        <f t="shared" si="17"/>
        <v>One-Time</v>
      </c>
    </row>
    <row r="536" spans="1:19" ht="15" customHeight="1" x14ac:dyDescent="0.3">
      <c r="A536">
        <v>535</v>
      </c>
      <c r="B536" t="s">
        <v>865</v>
      </c>
      <c r="C536">
        <v>1286640</v>
      </c>
      <c r="D536" t="s">
        <v>114</v>
      </c>
      <c r="E536">
        <v>61</v>
      </c>
      <c r="F536" t="s">
        <v>77</v>
      </c>
      <c r="G536" s="10">
        <v>45439</v>
      </c>
      <c r="H536" t="s">
        <v>41</v>
      </c>
      <c r="I536" t="s">
        <v>82</v>
      </c>
      <c r="J536" t="s">
        <v>47</v>
      </c>
      <c r="K536" t="s">
        <v>190</v>
      </c>
      <c r="L536" t="s">
        <v>56</v>
      </c>
      <c r="M536" t="s">
        <v>122</v>
      </c>
      <c r="N536">
        <v>4</v>
      </c>
      <c r="O536" t="s">
        <v>117</v>
      </c>
      <c r="P536" s="11">
        <v>6900</v>
      </c>
      <c r="Q536" t="s">
        <v>66</v>
      </c>
      <c r="R536" s="11">
        <f t="shared" si="16"/>
        <v>6900</v>
      </c>
      <c r="S536" t="str">
        <f t="shared" si="17"/>
        <v>One-Time</v>
      </c>
    </row>
    <row r="537" spans="1:19" ht="15" customHeight="1" x14ac:dyDescent="0.3">
      <c r="A537">
        <v>536</v>
      </c>
      <c r="B537" t="s">
        <v>866</v>
      </c>
      <c r="C537">
        <v>1531245</v>
      </c>
      <c r="D537" t="s">
        <v>114</v>
      </c>
      <c r="E537">
        <v>35</v>
      </c>
      <c r="F537" t="s">
        <v>76</v>
      </c>
      <c r="G537" s="10">
        <v>45440</v>
      </c>
      <c r="H537" t="s">
        <v>41</v>
      </c>
      <c r="I537" t="s">
        <v>82</v>
      </c>
      <c r="J537" t="s">
        <v>47</v>
      </c>
      <c r="K537" t="s">
        <v>190</v>
      </c>
      <c r="L537" t="s">
        <v>56</v>
      </c>
      <c r="M537" t="s">
        <v>122</v>
      </c>
      <c r="N537">
        <v>8</v>
      </c>
      <c r="O537" t="s">
        <v>117</v>
      </c>
      <c r="P537" s="11">
        <v>6900</v>
      </c>
      <c r="Q537" t="s">
        <v>867</v>
      </c>
      <c r="R537" s="11">
        <f t="shared" si="16"/>
        <v>6900</v>
      </c>
      <c r="S537" t="str">
        <f t="shared" si="17"/>
        <v>One-Time</v>
      </c>
    </row>
    <row r="538" spans="1:19" ht="15" customHeight="1" x14ac:dyDescent="0.3">
      <c r="A538">
        <v>537</v>
      </c>
      <c r="B538" t="s">
        <v>868</v>
      </c>
      <c r="C538">
        <v>9890628</v>
      </c>
      <c r="D538" t="s">
        <v>114</v>
      </c>
      <c r="E538">
        <v>64</v>
      </c>
      <c r="F538" t="s">
        <v>77</v>
      </c>
      <c r="G538" s="10">
        <v>45441</v>
      </c>
      <c r="H538" t="s">
        <v>41</v>
      </c>
      <c r="I538" t="s">
        <v>82</v>
      </c>
      <c r="J538" t="s">
        <v>47</v>
      </c>
      <c r="K538" t="s">
        <v>190</v>
      </c>
      <c r="L538" t="s">
        <v>56</v>
      </c>
      <c r="M538" t="s">
        <v>122</v>
      </c>
      <c r="N538">
        <v>7</v>
      </c>
      <c r="O538" t="s">
        <v>117</v>
      </c>
      <c r="P538" s="11">
        <v>6900</v>
      </c>
      <c r="Q538" t="s">
        <v>390</v>
      </c>
      <c r="R538" s="11">
        <f t="shared" si="16"/>
        <v>6900</v>
      </c>
      <c r="S538" t="str">
        <f t="shared" si="17"/>
        <v>One-Time</v>
      </c>
    </row>
    <row r="539" spans="1:19" ht="15" customHeight="1" x14ac:dyDescent="0.3">
      <c r="A539">
        <v>538</v>
      </c>
      <c r="B539" t="s">
        <v>869</v>
      </c>
      <c r="C539">
        <v>6101159</v>
      </c>
      <c r="D539" t="s">
        <v>114</v>
      </c>
      <c r="E539">
        <v>43</v>
      </c>
      <c r="F539" t="s">
        <v>76</v>
      </c>
      <c r="G539" s="10">
        <v>45442</v>
      </c>
      <c r="H539" t="s">
        <v>41</v>
      </c>
      <c r="I539" t="s">
        <v>82</v>
      </c>
      <c r="J539" t="s">
        <v>47</v>
      </c>
      <c r="K539" t="s">
        <v>190</v>
      </c>
      <c r="L539" t="s">
        <v>56</v>
      </c>
      <c r="M539" t="s">
        <v>122</v>
      </c>
      <c r="N539">
        <v>9</v>
      </c>
      <c r="O539" t="s">
        <v>117</v>
      </c>
      <c r="P539" s="11">
        <v>6900</v>
      </c>
      <c r="Q539" t="s">
        <v>69</v>
      </c>
      <c r="R539" s="11">
        <f t="shared" si="16"/>
        <v>6900</v>
      </c>
      <c r="S539" t="str">
        <f t="shared" si="17"/>
        <v>One-Time</v>
      </c>
    </row>
    <row r="540" spans="1:19" ht="15" customHeight="1" x14ac:dyDescent="0.3">
      <c r="A540">
        <v>539</v>
      </c>
      <c r="B540" t="s">
        <v>870</v>
      </c>
      <c r="C540">
        <v>5964555</v>
      </c>
      <c r="D540" t="s">
        <v>114</v>
      </c>
      <c r="E540">
        <v>36</v>
      </c>
      <c r="F540" t="s">
        <v>76</v>
      </c>
      <c r="G540" s="10">
        <v>45443</v>
      </c>
      <c r="H540" t="s">
        <v>41</v>
      </c>
      <c r="I540" t="s">
        <v>82</v>
      </c>
      <c r="J540" t="s">
        <v>47</v>
      </c>
      <c r="K540" t="s">
        <v>190</v>
      </c>
      <c r="L540" t="s">
        <v>56</v>
      </c>
      <c r="M540" t="s">
        <v>122</v>
      </c>
      <c r="N540">
        <v>3</v>
      </c>
      <c r="O540" t="s">
        <v>117</v>
      </c>
      <c r="P540" s="11">
        <v>6900</v>
      </c>
      <c r="Q540" t="s">
        <v>66</v>
      </c>
      <c r="R540" s="11">
        <f t="shared" si="16"/>
        <v>6900</v>
      </c>
      <c r="S540" t="str">
        <f t="shared" si="17"/>
        <v>One-Time</v>
      </c>
    </row>
    <row r="541" spans="1:19" ht="15" customHeight="1" x14ac:dyDescent="0.3">
      <c r="A541">
        <v>540</v>
      </c>
      <c r="B541" t="s">
        <v>871</v>
      </c>
      <c r="C541">
        <v>2410897</v>
      </c>
      <c r="D541" t="s">
        <v>114</v>
      </c>
      <c r="E541">
        <v>33</v>
      </c>
      <c r="F541" t="s">
        <v>76</v>
      </c>
      <c r="G541" s="10">
        <v>45444</v>
      </c>
      <c r="H541" t="s">
        <v>42</v>
      </c>
      <c r="I541" t="s">
        <v>82</v>
      </c>
      <c r="J541" t="s">
        <v>47</v>
      </c>
      <c r="K541" t="s">
        <v>190</v>
      </c>
      <c r="L541" t="s">
        <v>56</v>
      </c>
      <c r="M541" t="s">
        <v>122</v>
      </c>
      <c r="N541">
        <v>32</v>
      </c>
      <c r="O541" t="s">
        <v>117</v>
      </c>
      <c r="P541" s="11">
        <v>6900</v>
      </c>
      <c r="Q541" t="s">
        <v>220</v>
      </c>
      <c r="R541" s="11">
        <f t="shared" si="16"/>
        <v>6900</v>
      </c>
      <c r="S541" t="str">
        <f t="shared" si="17"/>
        <v>One-Time</v>
      </c>
    </row>
    <row r="542" spans="1:19" ht="15" customHeight="1" x14ac:dyDescent="0.3">
      <c r="A542">
        <v>541</v>
      </c>
      <c r="B542" t="s">
        <v>872</v>
      </c>
      <c r="C542">
        <v>6177297</v>
      </c>
      <c r="D542" t="s">
        <v>114</v>
      </c>
      <c r="E542">
        <v>44</v>
      </c>
      <c r="F542" t="s">
        <v>76</v>
      </c>
      <c r="G542" s="10">
        <v>45445</v>
      </c>
      <c r="H542" t="s">
        <v>42</v>
      </c>
      <c r="I542" t="s">
        <v>82</v>
      </c>
      <c r="J542" t="s">
        <v>47</v>
      </c>
      <c r="K542" t="s">
        <v>190</v>
      </c>
      <c r="L542" t="s">
        <v>56</v>
      </c>
      <c r="M542" t="s">
        <v>122</v>
      </c>
      <c r="N542">
        <v>65</v>
      </c>
      <c r="O542" t="s">
        <v>117</v>
      </c>
      <c r="P542" s="11">
        <v>6900</v>
      </c>
      <c r="Q542" t="s">
        <v>873</v>
      </c>
      <c r="R542" s="11">
        <f t="shared" si="16"/>
        <v>6900</v>
      </c>
      <c r="S542" t="str">
        <f t="shared" si="17"/>
        <v>One-Time</v>
      </c>
    </row>
    <row r="543" spans="1:19" ht="15" customHeight="1" x14ac:dyDescent="0.3">
      <c r="A543">
        <v>542</v>
      </c>
      <c r="B543" t="s">
        <v>874</v>
      </c>
      <c r="C543">
        <v>8813507</v>
      </c>
      <c r="D543" t="s">
        <v>114</v>
      </c>
      <c r="E543">
        <v>19</v>
      </c>
      <c r="F543" t="s">
        <v>75</v>
      </c>
      <c r="G543" s="10">
        <v>45446</v>
      </c>
      <c r="H543" t="s">
        <v>42</v>
      </c>
      <c r="I543" t="s">
        <v>82</v>
      </c>
      <c r="J543" t="s">
        <v>47</v>
      </c>
      <c r="K543" t="s">
        <v>115</v>
      </c>
      <c r="L543" t="s">
        <v>56</v>
      </c>
      <c r="M543" t="s">
        <v>122</v>
      </c>
      <c r="N543">
        <v>4</v>
      </c>
      <c r="O543" t="s">
        <v>117</v>
      </c>
      <c r="P543" s="11">
        <v>6900</v>
      </c>
      <c r="Q543" t="s">
        <v>62</v>
      </c>
      <c r="R543" s="11">
        <f t="shared" si="16"/>
        <v>6900</v>
      </c>
      <c r="S543" t="str">
        <f t="shared" si="17"/>
        <v>One-Time</v>
      </c>
    </row>
    <row r="544" spans="1:19" ht="15" customHeight="1" x14ac:dyDescent="0.3">
      <c r="A544">
        <v>543</v>
      </c>
      <c r="B544" t="s">
        <v>875</v>
      </c>
      <c r="C544">
        <v>1973643</v>
      </c>
      <c r="D544" t="s">
        <v>114</v>
      </c>
      <c r="E544">
        <v>20</v>
      </c>
      <c r="F544" t="s">
        <v>75</v>
      </c>
      <c r="G544" s="10">
        <v>45447</v>
      </c>
      <c r="H544" t="s">
        <v>42</v>
      </c>
      <c r="I544" t="s">
        <v>82</v>
      </c>
      <c r="J544" t="s">
        <v>47</v>
      </c>
      <c r="K544" t="s">
        <v>115</v>
      </c>
      <c r="L544" t="s">
        <v>56</v>
      </c>
      <c r="M544" t="s">
        <v>122</v>
      </c>
      <c r="N544">
        <v>1</v>
      </c>
      <c r="O544" t="s">
        <v>117</v>
      </c>
      <c r="P544" s="11">
        <v>6900</v>
      </c>
      <c r="Q544" t="s">
        <v>70</v>
      </c>
      <c r="R544" s="11">
        <f t="shared" si="16"/>
        <v>6900</v>
      </c>
      <c r="S544" t="str">
        <f t="shared" si="17"/>
        <v>One-Time</v>
      </c>
    </row>
    <row r="545" spans="1:19" ht="15" customHeight="1" x14ac:dyDescent="0.3">
      <c r="A545">
        <v>544</v>
      </c>
      <c r="B545" t="s">
        <v>876</v>
      </c>
      <c r="C545">
        <v>8630605</v>
      </c>
      <c r="D545" t="s">
        <v>114</v>
      </c>
      <c r="E545">
        <v>47</v>
      </c>
      <c r="F545" t="s">
        <v>76</v>
      </c>
      <c r="G545" s="10">
        <v>45448</v>
      </c>
      <c r="H545" t="s">
        <v>42</v>
      </c>
      <c r="I545" t="s">
        <v>82</v>
      </c>
      <c r="J545" t="s">
        <v>47</v>
      </c>
      <c r="K545" t="s">
        <v>115</v>
      </c>
      <c r="L545" t="s">
        <v>56</v>
      </c>
      <c r="M545" t="s">
        <v>122</v>
      </c>
      <c r="N545">
        <v>47</v>
      </c>
      <c r="O545" t="s">
        <v>117</v>
      </c>
      <c r="P545" s="11">
        <v>6300</v>
      </c>
      <c r="Q545" t="s">
        <v>66</v>
      </c>
      <c r="R545" s="11">
        <f t="shared" si="16"/>
        <v>6300</v>
      </c>
      <c r="S545" t="str">
        <f t="shared" si="17"/>
        <v>Repeat</v>
      </c>
    </row>
    <row r="546" spans="1:19" ht="15" customHeight="1" x14ac:dyDescent="0.3">
      <c r="A546">
        <v>545</v>
      </c>
      <c r="B546" t="s">
        <v>876</v>
      </c>
      <c r="C546">
        <v>8630605</v>
      </c>
      <c r="D546" t="s">
        <v>114</v>
      </c>
      <c r="E546">
        <v>62</v>
      </c>
      <c r="F546" t="s">
        <v>77</v>
      </c>
      <c r="G546" s="10">
        <v>45449</v>
      </c>
      <c r="H546" t="s">
        <v>42</v>
      </c>
      <c r="I546" t="s">
        <v>82</v>
      </c>
      <c r="J546" t="s">
        <v>47</v>
      </c>
      <c r="K546" t="s">
        <v>115</v>
      </c>
      <c r="L546" t="s">
        <v>56</v>
      </c>
      <c r="M546" t="s">
        <v>122</v>
      </c>
      <c r="N546">
        <v>3</v>
      </c>
      <c r="O546" t="s">
        <v>117</v>
      </c>
      <c r="P546" s="11">
        <v>6300</v>
      </c>
      <c r="Q546" t="s">
        <v>63</v>
      </c>
      <c r="R546" s="11">
        <f t="shared" si="16"/>
        <v>6300</v>
      </c>
      <c r="S546" t="str">
        <f t="shared" si="17"/>
        <v>Repeat</v>
      </c>
    </row>
    <row r="547" spans="1:19" ht="15" customHeight="1" x14ac:dyDescent="0.3">
      <c r="A547">
        <v>546</v>
      </c>
      <c r="B547" t="s">
        <v>876</v>
      </c>
      <c r="C547">
        <v>8630605</v>
      </c>
      <c r="D547" t="s">
        <v>114</v>
      </c>
      <c r="E547">
        <v>24</v>
      </c>
      <c r="F547" t="s">
        <v>75</v>
      </c>
      <c r="G547" s="10">
        <v>45450</v>
      </c>
      <c r="H547" t="s">
        <v>42</v>
      </c>
      <c r="I547" t="s">
        <v>82</v>
      </c>
      <c r="J547" t="s">
        <v>47</v>
      </c>
      <c r="K547" t="s">
        <v>115</v>
      </c>
      <c r="L547" t="s">
        <v>56</v>
      </c>
      <c r="M547" t="s">
        <v>122</v>
      </c>
      <c r="N547">
        <v>4</v>
      </c>
      <c r="O547" t="s">
        <v>117</v>
      </c>
      <c r="P547" s="11">
        <v>6300</v>
      </c>
      <c r="Q547" t="s">
        <v>67</v>
      </c>
      <c r="R547" s="11">
        <f t="shared" si="16"/>
        <v>6300</v>
      </c>
      <c r="S547" t="str">
        <f t="shared" si="17"/>
        <v>Repeat</v>
      </c>
    </row>
    <row r="548" spans="1:19" ht="15" customHeight="1" x14ac:dyDescent="0.3">
      <c r="A548">
        <v>547</v>
      </c>
      <c r="B548" t="s">
        <v>877</v>
      </c>
      <c r="C548">
        <v>8611373</v>
      </c>
      <c r="D548" t="s">
        <v>114</v>
      </c>
      <c r="E548">
        <v>50</v>
      </c>
      <c r="F548" t="s">
        <v>77</v>
      </c>
      <c r="G548" s="10">
        <v>45451</v>
      </c>
      <c r="H548" t="s">
        <v>42</v>
      </c>
      <c r="I548" t="s">
        <v>82</v>
      </c>
      <c r="J548" t="s">
        <v>47</v>
      </c>
      <c r="K548" t="s">
        <v>115</v>
      </c>
      <c r="L548" t="s">
        <v>56</v>
      </c>
      <c r="M548" t="s">
        <v>122</v>
      </c>
      <c r="N548">
        <v>4</v>
      </c>
      <c r="O548" t="s">
        <v>117</v>
      </c>
      <c r="P548" s="11">
        <v>6300</v>
      </c>
      <c r="Q548" t="s">
        <v>522</v>
      </c>
      <c r="R548" s="11">
        <f t="shared" si="16"/>
        <v>6300</v>
      </c>
      <c r="S548" t="str">
        <f t="shared" si="17"/>
        <v>One-Time</v>
      </c>
    </row>
    <row r="549" spans="1:19" ht="15" customHeight="1" x14ac:dyDescent="0.3">
      <c r="A549">
        <v>548</v>
      </c>
      <c r="B549" t="s">
        <v>878</v>
      </c>
      <c r="C549">
        <v>2044365</v>
      </c>
      <c r="D549" t="s">
        <v>114</v>
      </c>
      <c r="E549">
        <v>39</v>
      </c>
      <c r="F549" t="s">
        <v>76</v>
      </c>
      <c r="G549" s="10">
        <v>45452</v>
      </c>
      <c r="H549" t="s">
        <v>42</v>
      </c>
      <c r="I549" t="s">
        <v>82</v>
      </c>
      <c r="J549" t="s">
        <v>47</v>
      </c>
      <c r="K549" t="s">
        <v>115</v>
      </c>
      <c r="L549" t="s">
        <v>56</v>
      </c>
      <c r="M549" t="s">
        <v>122</v>
      </c>
      <c r="N549">
        <v>9</v>
      </c>
      <c r="O549" t="s">
        <v>117</v>
      </c>
      <c r="P549" s="11">
        <v>6300</v>
      </c>
      <c r="Q549" t="s">
        <v>62</v>
      </c>
      <c r="R549" s="11">
        <f t="shared" si="16"/>
        <v>6300</v>
      </c>
      <c r="S549" t="str">
        <f t="shared" si="17"/>
        <v>One-Time</v>
      </c>
    </row>
    <row r="550" spans="1:19" ht="15" customHeight="1" x14ac:dyDescent="0.3">
      <c r="A550">
        <v>549</v>
      </c>
      <c r="B550" t="s">
        <v>879</v>
      </c>
      <c r="C550">
        <v>8151832</v>
      </c>
      <c r="D550" t="s">
        <v>114</v>
      </c>
      <c r="E550">
        <v>46</v>
      </c>
      <c r="F550" t="s">
        <v>76</v>
      </c>
      <c r="G550" s="10">
        <v>45453</v>
      </c>
      <c r="H550" t="s">
        <v>42</v>
      </c>
      <c r="I550" t="s">
        <v>82</v>
      </c>
      <c r="J550" t="s">
        <v>47</v>
      </c>
      <c r="K550" t="s">
        <v>115</v>
      </c>
      <c r="L550" t="s">
        <v>56</v>
      </c>
      <c r="M550" t="s">
        <v>122</v>
      </c>
      <c r="N550">
        <v>8</v>
      </c>
      <c r="O550" t="s">
        <v>117</v>
      </c>
      <c r="P550" s="11">
        <v>6300</v>
      </c>
      <c r="Q550" t="s">
        <v>62</v>
      </c>
      <c r="R550" s="11">
        <f t="shared" si="16"/>
        <v>6300</v>
      </c>
      <c r="S550" t="str">
        <f t="shared" si="17"/>
        <v>One-Time</v>
      </c>
    </row>
    <row r="551" spans="1:19" ht="15" customHeight="1" x14ac:dyDescent="0.3">
      <c r="A551">
        <v>550</v>
      </c>
      <c r="B551" t="s">
        <v>880</v>
      </c>
      <c r="C551">
        <v>2235887</v>
      </c>
      <c r="D551" t="s">
        <v>114</v>
      </c>
      <c r="E551">
        <v>23</v>
      </c>
      <c r="F551" t="s">
        <v>75</v>
      </c>
      <c r="G551" s="10">
        <v>45454</v>
      </c>
      <c r="H551" t="s">
        <v>42</v>
      </c>
      <c r="I551" t="s">
        <v>82</v>
      </c>
      <c r="J551" t="s">
        <v>47</v>
      </c>
      <c r="K551" t="s">
        <v>115</v>
      </c>
      <c r="L551" t="s">
        <v>56</v>
      </c>
      <c r="M551" t="s">
        <v>122</v>
      </c>
      <c r="N551">
        <v>3</v>
      </c>
      <c r="O551" t="s">
        <v>117</v>
      </c>
      <c r="P551" s="11">
        <v>6300</v>
      </c>
      <c r="Q551" t="s">
        <v>881</v>
      </c>
      <c r="R551" s="11">
        <f t="shared" si="16"/>
        <v>6300</v>
      </c>
      <c r="S551" t="str">
        <f t="shared" si="17"/>
        <v>One-Time</v>
      </c>
    </row>
    <row r="552" spans="1:19" ht="15" customHeight="1" x14ac:dyDescent="0.3">
      <c r="A552">
        <v>551</v>
      </c>
      <c r="B552" t="s">
        <v>882</v>
      </c>
      <c r="C552">
        <v>3998205</v>
      </c>
      <c r="D552" t="s">
        <v>114</v>
      </c>
      <c r="E552">
        <v>57</v>
      </c>
      <c r="F552" t="s">
        <v>77</v>
      </c>
      <c r="G552" s="10">
        <v>45455</v>
      </c>
      <c r="H552" t="s">
        <v>42</v>
      </c>
      <c r="I552" t="s">
        <v>82</v>
      </c>
      <c r="J552" t="s">
        <v>47</v>
      </c>
      <c r="K552" t="s">
        <v>115</v>
      </c>
      <c r="L552" t="s">
        <v>56</v>
      </c>
      <c r="M552" t="s">
        <v>122</v>
      </c>
      <c r="N552">
        <v>6</v>
      </c>
      <c r="O552" t="s">
        <v>117</v>
      </c>
      <c r="P552" s="11">
        <v>6300</v>
      </c>
      <c r="Q552" t="s">
        <v>169</v>
      </c>
      <c r="R552" s="11">
        <f t="shared" si="16"/>
        <v>6300</v>
      </c>
      <c r="S552" t="str">
        <f t="shared" si="17"/>
        <v>One-Time</v>
      </c>
    </row>
    <row r="553" spans="1:19" ht="15" customHeight="1" x14ac:dyDescent="0.3">
      <c r="A553">
        <v>552</v>
      </c>
      <c r="B553" t="s">
        <v>883</v>
      </c>
      <c r="C553">
        <v>5548596</v>
      </c>
      <c r="D553" t="s">
        <v>114</v>
      </c>
      <c r="E553">
        <v>34</v>
      </c>
      <c r="F553" t="s">
        <v>76</v>
      </c>
      <c r="G553" s="10">
        <v>45456</v>
      </c>
      <c r="H553" t="s">
        <v>42</v>
      </c>
      <c r="I553" t="s">
        <v>82</v>
      </c>
      <c r="J553" t="s">
        <v>47</v>
      </c>
      <c r="K553" t="s">
        <v>115</v>
      </c>
      <c r="L553" t="s">
        <v>56</v>
      </c>
      <c r="M553" t="s">
        <v>122</v>
      </c>
      <c r="N553">
        <v>9</v>
      </c>
      <c r="O553" t="s">
        <v>117</v>
      </c>
      <c r="P553" s="11">
        <v>6300</v>
      </c>
      <c r="Q553" t="s">
        <v>348</v>
      </c>
      <c r="R553" s="11">
        <f t="shared" si="16"/>
        <v>6300</v>
      </c>
      <c r="S553" t="str">
        <f t="shared" si="17"/>
        <v>One-Time</v>
      </c>
    </row>
    <row r="554" spans="1:19" ht="15" customHeight="1" x14ac:dyDescent="0.3">
      <c r="A554">
        <v>553</v>
      </c>
      <c r="B554" t="s">
        <v>884</v>
      </c>
      <c r="C554">
        <v>252614</v>
      </c>
      <c r="D554" t="s">
        <v>114</v>
      </c>
      <c r="E554">
        <v>23</v>
      </c>
      <c r="F554" t="s">
        <v>75</v>
      </c>
      <c r="G554" s="10">
        <v>45457</v>
      </c>
      <c r="H554" t="s">
        <v>42</v>
      </c>
      <c r="I554" t="s">
        <v>82</v>
      </c>
      <c r="J554" t="s">
        <v>47</v>
      </c>
      <c r="K554" t="s">
        <v>115</v>
      </c>
      <c r="L554" t="s">
        <v>56</v>
      </c>
      <c r="M554" t="s">
        <v>122</v>
      </c>
      <c r="N554">
        <v>2</v>
      </c>
      <c r="O554" t="s">
        <v>117</v>
      </c>
      <c r="P554" s="11">
        <v>6300</v>
      </c>
      <c r="Q554" t="s">
        <v>62</v>
      </c>
      <c r="R554" s="11">
        <f t="shared" si="16"/>
        <v>6300</v>
      </c>
      <c r="S554" t="str">
        <f t="shared" si="17"/>
        <v>One-Time</v>
      </c>
    </row>
    <row r="555" spans="1:19" ht="15" customHeight="1" x14ac:dyDescent="0.3">
      <c r="A555">
        <v>554</v>
      </c>
      <c r="B555" t="s">
        <v>885</v>
      </c>
      <c r="C555">
        <v>5497113</v>
      </c>
      <c r="D555" t="s">
        <v>114</v>
      </c>
      <c r="E555">
        <v>28</v>
      </c>
      <c r="F555" t="s">
        <v>75</v>
      </c>
      <c r="G555" s="10">
        <v>45458</v>
      </c>
      <c r="H555" t="s">
        <v>42</v>
      </c>
      <c r="I555" t="s">
        <v>82</v>
      </c>
      <c r="J555" t="s">
        <v>47</v>
      </c>
      <c r="K555" t="s">
        <v>115</v>
      </c>
      <c r="L555" t="s">
        <v>56</v>
      </c>
      <c r="M555" t="s">
        <v>122</v>
      </c>
      <c r="N555">
        <v>5</v>
      </c>
      <c r="O555" t="s">
        <v>117</v>
      </c>
      <c r="P555" s="11">
        <v>6300</v>
      </c>
      <c r="Q555" t="s">
        <v>886</v>
      </c>
      <c r="R555" s="11">
        <f t="shared" si="16"/>
        <v>6300</v>
      </c>
      <c r="S555" t="str">
        <f t="shared" si="17"/>
        <v>One-Time</v>
      </c>
    </row>
    <row r="556" spans="1:19" ht="15" customHeight="1" x14ac:dyDescent="0.3">
      <c r="A556">
        <v>555</v>
      </c>
      <c r="B556" t="s">
        <v>887</v>
      </c>
      <c r="C556">
        <v>4640147</v>
      </c>
      <c r="D556" t="s">
        <v>114</v>
      </c>
      <c r="E556">
        <v>51</v>
      </c>
      <c r="F556" t="s">
        <v>77</v>
      </c>
      <c r="G556" s="10">
        <v>45459</v>
      </c>
      <c r="H556" t="s">
        <v>42</v>
      </c>
      <c r="I556" t="s">
        <v>82</v>
      </c>
      <c r="J556" t="s">
        <v>47</v>
      </c>
      <c r="K556" t="s">
        <v>115</v>
      </c>
      <c r="L556" t="s">
        <v>56</v>
      </c>
      <c r="M556" t="s">
        <v>116</v>
      </c>
      <c r="N556">
        <v>9</v>
      </c>
      <c r="O556" t="s">
        <v>117</v>
      </c>
      <c r="P556" s="11">
        <v>6300</v>
      </c>
      <c r="Q556" t="s">
        <v>284</v>
      </c>
      <c r="R556" s="11">
        <f t="shared" si="16"/>
        <v>6300</v>
      </c>
      <c r="S556" t="str">
        <f t="shared" si="17"/>
        <v>One-Time</v>
      </c>
    </row>
    <row r="557" spans="1:19" ht="15" customHeight="1" x14ac:dyDescent="0.3">
      <c r="A557">
        <v>556</v>
      </c>
      <c r="B557" t="s">
        <v>888</v>
      </c>
      <c r="C557">
        <v>1729818</v>
      </c>
      <c r="D557" t="s">
        <v>114</v>
      </c>
      <c r="E557">
        <v>75</v>
      </c>
      <c r="F557" t="s">
        <v>77</v>
      </c>
      <c r="G557" s="10">
        <v>45460</v>
      </c>
      <c r="H557" t="s">
        <v>42</v>
      </c>
      <c r="I557" t="s">
        <v>82</v>
      </c>
      <c r="J557" t="s">
        <v>47</v>
      </c>
      <c r="K557" t="s">
        <v>121</v>
      </c>
      <c r="L557" t="s">
        <v>56</v>
      </c>
      <c r="M557" t="s">
        <v>122</v>
      </c>
      <c r="N557">
        <v>7</v>
      </c>
      <c r="O557" t="s">
        <v>117</v>
      </c>
      <c r="P557" s="11">
        <v>6300</v>
      </c>
      <c r="Q557" t="s">
        <v>63</v>
      </c>
      <c r="R557" s="11">
        <f t="shared" si="16"/>
        <v>6300</v>
      </c>
      <c r="S557" t="str">
        <f t="shared" si="17"/>
        <v>One-Time</v>
      </c>
    </row>
    <row r="558" spans="1:19" ht="15" customHeight="1" x14ac:dyDescent="0.3">
      <c r="A558">
        <v>557</v>
      </c>
      <c r="B558" t="s">
        <v>889</v>
      </c>
      <c r="C558">
        <v>3488885</v>
      </c>
      <c r="D558" t="s">
        <v>114</v>
      </c>
      <c r="E558">
        <v>24</v>
      </c>
      <c r="F558" t="s">
        <v>75</v>
      </c>
      <c r="G558" s="10">
        <v>45461</v>
      </c>
      <c r="H558" t="s">
        <v>42</v>
      </c>
      <c r="I558" t="s">
        <v>82</v>
      </c>
      <c r="J558" t="s">
        <v>47</v>
      </c>
      <c r="K558" t="s">
        <v>125</v>
      </c>
      <c r="L558" t="s">
        <v>56</v>
      </c>
      <c r="M558" t="s">
        <v>116</v>
      </c>
      <c r="N558">
        <v>6</v>
      </c>
      <c r="O558" t="s">
        <v>117</v>
      </c>
      <c r="P558" s="11">
        <v>6600</v>
      </c>
      <c r="Q558" t="s">
        <v>890</v>
      </c>
      <c r="R558" s="11">
        <f t="shared" si="16"/>
        <v>6600</v>
      </c>
      <c r="S558" t="str">
        <f t="shared" si="17"/>
        <v>One-Time</v>
      </c>
    </row>
    <row r="559" spans="1:19" ht="15" customHeight="1" x14ac:dyDescent="0.3">
      <c r="A559">
        <v>558</v>
      </c>
      <c r="B559" t="s">
        <v>891</v>
      </c>
      <c r="C559">
        <v>3898679</v>
      </c>
      <c r="D559" t="s">
        <v>114</v>
      </c>
      <c r="E559">
        <v>35</v>
      </c>
      <c r="F559" t="s">
        <v>76</v>
      </c>
      <c r="G559" s="10">
        <v>45462</v>
      </c>
      <c r="H559" t="s">
        <v>42</v>
      </c>
      <c r="I559" t="s">
        <v>82</v>
      </c>
      <c r="J559" t="s">
        <v>47</v>
      </c>
      <c r="K559" t="s">
        <v>128</v>
      </c>
      <c r="L559" t="s">
        <v>56</v>
      </c>
      <c r="M559" t="s">
        <v>116</v>
      </c>
      <c r="N559">
        <v>2</v>
      </c>
      <c r="O559" t="s">
        <v>117</v>
      </c>
      <c r="P559" s="11">
        <v>6600</v>
      </c>
      <c r="Q559" t="s">
        <v>64</v>
      </c>
      <c r="R559" s="11">
        <f t="shared" si="16"/>
        <v>6600</v>
      </c>
      <c r="S559" t="str">
        <f t="shared" si="17"/>
        <v>One-Time</v>
      </c>
    </row>
    <row r="560" spans="1:19" ht="15" customHeight="1" x14ac:dyDescent="0.3">
      <c r="A560">
        <v>559</v>
      </c>
      <c r="B560" t="s">
        <v>892</v>
      </c>
      <c r="C560">
        <v>937120</v>
      </c>
      <c r="D560" t="s">
        <v>114</v>
      </c>
      <c r="E560">
        <v>54</v>
      </c>
      <c r="F560" t="s">
        <v>77</v>
      </c>
      <c r="G560" s="10">
        <v>45463</v>
      </c>
      <c r="H560" t="s">
        <v>42</v>
      </c>
      <c r="I560" t="s">
        <v>82</v>
      </c>
      <c r="J560" t="s">
        <v>47</v>
      </c>
      <c r="K560" t="s">
        <v>132</v>
      </c>
      <c r="L560" t="s">
        <v>56</v>
      </c>
      <c r="M560" t="s">
        <v>116</v>
      </c>
      <c r="N560">
        <v>8</v>
      </c>
      <c r="O560" t="s">
        <v>117</v>
      </c>
      <c r="P560" s="11">
        <v>6600</v>
      </c>
      <c r="Q560" t="s">
        <v>62</v>
      </c>
      <c r="R560" s="11">
        <f t="shared" si="16"/>
        <v>6600</v>
      </c>
      <c r="S560" t="str">
        <f t="shared" si="17"/>
        <v>One-Time</v>
      </c>
    </row>
    <row r="561" spans="1:19" ht="15" customHeight="1" x14ac:dyDescent="0.3">
      <c r="A561">
        <v>560</v>
      </c>
      <c r="B561" t="s">
        <v>893</v>
      </c>
      <c r="C561">
        <v>3504837</v>
      </c>
      <c r="D561" t="s">
        <v>114</v>
      </c>
      <c r="E561">
        <v>27</v>
      </c>
      <c r="F561" t="s">
        <v>75</v>
      </c>
      <c r="G561" s="10">
        <v>45464</v>
      </c>
      <c r="H561" t="s">
        <v>42</v>
      </c>
      <c r="I561" t="s">
        <v>82</v>
      </c>
      <c r="J561" t="s">
        <v>47</v>
      </c>
      <c r="K561" t="s">
        <v>135</v>
      </c>
      <c r="L561" t="s">
        <v>56</v>
      </c>
      <c r="M561" t="s">
        <v>122</v>
      </c>
      <c r="N561">
        <v>4</v>
      </c>
      <c r="O561" t="s">
        <v>117</v>
      </c>
      <c r="P561" s="11">
        <v>6600</v>
      </c>
      <c r="Q561" t="s">
        <v>69</v>
      </c>
      <c r="R561" s="11">
        <f t="shared" si="16"/>
        <v>6600</v>
      </c>
      <c r="S561" t="str">
        <f t="shared" si="17"/>
        <v>One-Time</v>
      </c>
    </row>
    <row r="562" spans="1:19" ht="15" customHeight="1" x14ac:dyDescent="0.3">
      <c r="A562">
        <v>561</v>
      </c>
      <c r="B562" t="s">
        <v>894</v>
      </c>
      <c r="C562">
        <v>2374778</v>
      </c>
      <c r="D562" t="s">
        <v>114</v>
      </c>
      <c r="E562">
        <v>40</v>
      </c>
      <c r="F562" t="s">
        <v>76</v>
      </c>
      <c r="G562" s="10">
        <v>45465</v>
      </c>
      <c r="H562" t="s">
        <v>42</v>
      </c>
      <c r="I562" t="s">
        <v>82</v>
      </c>
      <c r="J562" t="s">
        <v>47</v>
      </c>
      <c r="K562" t="s">
        <v>138</v>
      </c>
      <c r="L562" t="s">
        <v>56</v>
      </c>
      <c r="M562" t="s">
        <v>122</v>
      </c>
      <c r="N562">
        <v>6</v>
      </c>
      <c r="O562" t="s">
        <v>117</v>
      </c>
      <c r="P562" s="11">
        <v>6500</v>
      </c>
      <c r="Q562" t="s">
        <v>542</v>
      </c>
      <c r="R562" s="11">
        <f t="shared" si="16"/>
        <v>6500</v>
      </c>
      <c r="S562" t="str">
        <f t="shared" si="17"/>
        <v>One-Time</v>
      </c>
    </row>
    <row r="563" spans="1:19" ht="15" customHeight="1" x14ac:dyDescent="0.3">
      <c r="A563">
        <v>562</v>
      </c>
      <c r="B563" t="s">
        <v>895</v>
      </c>
      <c r="C563">
        <v>5504608</v>
      </c>
      <c r="D563" t="s">
        <v>114</v>
      </c>
      <c r="E563">
        <v>34</v>
      </c>
      <c r="F563" t="s">
        <v>76</v>
      </c>
      <c r="G563" s="10">
        <v>45466</v>
      </c>
      <c r="H563" t="s">
        <v>42</v>
      </c>
      <c r="I563" t="s">
        <v>82</v>
      </c>
      <c r="J563" t="s">
        <v>47</v>
      </c>
      <c r="K563" t="s">
        <v>140</v>
      </c>
      <c r="L563" t="s">
        <v>56</v>
      </c>
      <c r="M563" t="s">
        <v>122</v>
      </c>
      <c r="N563">
        <v>5</v>
      </c>
      <c r="O563" t="s">
        <v>117</v>
      </c>
      <c r="P563" s="11">
        <v>6500</v>
      </c>
      <c r="Q563" t="s">
        <v>896</v>
      </c>
      <c r="R563" s="11">
        <f t="shared" si="16"/>
        <v>6500</v>
      </c>
      <c r="S563" t="str">
        <f t="shared" si="17"/>
        <v>One-Time</v>
      </c>
    </row>
    <row r="564" spans="1:19" ht="15" customHeight="1" x14ac:dyDescent="0.3">
      <c r="A564">
        <v>563</v>
      </c>
      <c r="B564" t="s">
        <v>897</v>
      </c>
      <c r="C564">
        <v>1316762</v>
      </c>
      <c r="D564" t="s">
        <v>114</v>
      </c>
      <c r="E564">
        <v>49</v>
      </c>
      <c r="F564" t="s">
        <v>76</v>
      </c>
      <c r="G564" s="10">
        <v>45467</v>
      </c>
      <c r="H564" t="s">
        <v>42</v>
      </c>
      <c r="I564" t="s">
        <v>85</v>
      </c>
      <c r="J564" t="s">
        <v>47</v>
      </c>
      <c r="K564" t="s">
        <v>142</v>
      </c>
      <c r="L564" t="s">
        <v>56</v>
      </c>
      <c r="M564" t="s">
        <v>122</v>
      </c>
      <c r="N564">
        <v>23</v>
      </c>
      <c r="O564" t="s">
        <v>117</v>
      </c>
      <c r="P564" s="11">
        <v>6500</v>
      </c>
      <c r="Q564" t="s">
        <v>898</v>
      </c>
      <c r="R564" s="11">
        <f t="shared" si="16"/>
        <v>0</v>
      </c>
      <c r="S564" t="str">
        <f t="shared" si="17"/>
        <v>One-Time</v>
      </c>
    </row>
    <row r="565" spans="1:19" ht="15" customHeight="1" x14ac:dyDescent="0.3">
      <c r="A565">
        <v>564</v>
      </c>
      <c r="B565" t="s">
        <v>899</v>
      </c>
      <c r="C565">
        <v>1749092</v>
      </c>
      <c r="D565" t="s">
        <v>114</v>
      </c>
      <c r="E565">
        <v>36</v>
      </c>
      <c r="F565" t="s">
        <v>76</v>
      </c>
      <c r="G565" s="10">
        <v>45468</v>
      </c>
      <c r="H565" t="s">
        <v>42</v>
      </c>
      <c r="I565" t="s">
        <v>82</v>
      </c>
      <c r="J565" t="s">
        <v>47</v>
      </c>
      <c r="K565" t="s">
        <v>144</v>
      </c>
      <c r="L565" t="s">
        <v>56</v>
      </c>
      <c r="M565" t="s">
        <v>122</v>
      </c>
      <c r="N565">
        <v>2</v>
      </c>
      <c r="O565" t="s">
        <v>117</v>
      </c>
      <c r="P565" s="11">
        <v>6500</v>
      </c>
      <c r="Q565" t="s">
        <v>900</v>
      </c>
      <c r="R565" s="11">
        <f t="shared" si="16"/>
        <v>6500</v>
      </c>
      <c r="S565" t="str">
        <f t="shared" si="17"/>
        <v>One-Time</v>
      </c>
    </row>
    <row r="566" spans="1:19" ht="15" customHeight="1" x14ac:dyDescent="0.3">
      <c r="A566">
        <v>565</v>
      </c>
      <c r="B566" t="s">
        <v>901</v>
      </c>
      <c r="C566">
        <v>3238001</v>
      </c>
      <c r="D566" t="s">
        <v>114</v>
      </c>
      <c r="E566">
        <v>29</v>
      </c>
      <c r="F566" t="s">
        <v>75</v>
      </c>
      <c r="G566" s="10">
        <v>45469</v>
      </c>
      <c r="H566" t="s">
        <v>42</v>
      </c>
      <c r="I566" t="s">
        <v>82</v>
      </c>
      <c r="J566" t="s">
        <v>47</v>
      </c>
      <c r="K566" t="s">
        <v>146</v>
      </c>
      <c r="L566" t="s">
        <v>56</v>
      </c>
      <c r="M566" t="s">
        <v>122</v>
      </c>
      <c r="N566">
        <v>5</v>
      </c>
      <c r="O566" t="s">
        <v>117</v>
      </c>
      <c r="P566" s="11">
        <v>6500</v>
      </c>
      <c r="Q566" t="s">
        <v>902</v>
      </c>
      <c r="R566" s="11">
        <f t="shared" si="16"/>
        <v>6500</v>
      </c>
      <c r="S566" t="str">
        <f t="shared" si="17"/>
        <v>One-Time</v>
      </c>
    </row>
    <row r="567" spans="1:19" ht="15" customHeight="1" x14ac:dyDescent="0.3">
      <c r="A567">
        <v>566</v>
      </c>
      <c r="B567" t="s">
        <v>903</v>
      </c>
      <c r="C567">
        <v>8136697</v>
      </c>
      <c r="D567" t="s">
        <v>114</v>
      </c>
      <c r="E567">
        <v>34</v>
      </c>
      <c r="F567" t="s">
        <v>76</v>
      </c>
      <c r="G567" s="10">
        <v>45470</v>
      </c>
      <c r="H567" t="s">
        <v>42</v>
      </c>
      <c r="I567" t="s">
        <v>82</v>
      </c>
      <c r="J567" t="s">
        <v>47</v>
      </c>
      <c r="K567" t="s">
        <v>115</v>
      </c>
      <c r="L567" t="s">
        <v>56</v>
      </c>
      <c r="M567" t="s">
        <v>122</v>
      </c>
      <c r="N567">
        <v>9</v>
      </c>
      <c r="O567" t="s">
        <v>117</v>
      </c>
      <c r="P567" s="11">
        <v>6500</v>
      </c>
      <c r="Q567" t="s">
        <v>64</v>
      </c>
      <c r="R567" s="11">
        <f t="shared" si="16"/>
        <v>6500</v>
      </c>
      <c r="S567" t="str">
        <f t="shared" si="17"/>
        <v>One-Time</v>
      </c>
    </row>
    <row r="568" spans="1:19" ht="15" customHeight="1" x14ac:dyDescent="0.3">
      <c r="A568">
        <v>567</v>
      </c>
      <c r="B568" t="s">
        <v>904</v>
      </c>
      <c r="C568">
        <v>8378600</v>
      </c>
      <c r="D568" t="s">
        <v>114</v>
      </c>
      <c r="E568">
        <v>30</v>
      </c>
      <c r="F568" t="s">
        <v>76</v>
      </c>
      <c r="G568" s="10">
        <v>45471</v>
      </c>
      <c r="H568" t="s">
        <v>42</v>
      </c>
      <c r="I568" t="s">
        <v>82</v>
      </c>
      <c r="J568" t="s">
        <v>47</v>
      </c>
      <c r="K568" t="s">
        <v>115</v>
      </c>
      <c r="L568" t="s">
        <v>56</v>
      </c>
      <c r="M568" t="s">
        <v>122</v>
      </c>
      <c r="N568">
        <v>27</v>
      </c>
      <c r="O568" t="s">
        <v>117</v>
      </c>
      <c r="P568" s="11">
        <v>6500</v>
      </c>
      <c r="Q568" t="s">
        <v>905</v>
      </c>
      <c r="R568" s="11">
        <f t="shared" si="16"/>
        <v>6500</v>
      </c>
      <c r="S568" t="str">
        <f t="shared" si="17"/>
        <v>One-Time</v>
      </c>
    </row>
    <row r="569" spans="1:19" ht="15" customHeight="1" x14ac:dyDescent="0.3">
      <c r="A569">
        <v>568</v>
      </c>
      <c r="B569" t="s">
        <v>906</v>
      </c>
      <c r="C569">
        <v>2839193</v>
      </c>
      <c r="D569" t="s">
        <v>114</v>
      </c>
      <c r="E569">
        <v>48</v>
      </c>
      <c r="F569" t="s">
        <v>76</v>
      </c>
      <c r="G569" s="10">
        <v>45472</v>
      </c>
      <c r="H569" t="s">
        <v>42</v>
      </c>
      <c r="I569" t="s">
        <v>83</v>
      </c>
      <c r="J569" t="s">
        <v>47</v>
      </c>
      <c r="K569" t="s">
        <v>115</v>
      </c>
      <c r="L569" t="s">
        <v>56</v>
      </c>
      <c r="M569" t="s">
        <v>122</v>
      </c>
      <c r="N569">
        <v>6</v>
      </c>
      <c r="O569" t="s">
        <v>117</v>
      </c>
      <c r="P569" s="11">
        <v>7500</v>
      </c>
      <c r="Q569" t="s">
        <v>907</v>
      </c>
      <c r="R569" s="11">
        <f t="shared" si="16"/>
        <v>0</v>
      </c>
      <c r="S569" t="str">
        <f t="shared" si="17"/>
        <v>One-Time</v>
      </c>
    </row>
    <row r="570" spans="1:19" ht="15" customHeight="1" x14ac:dyDescent="0.3">
      <c r="A570">
        <v>569</v>
      </c>
      <c r="B570" t="s">
        <v>908</v>
      </c>
      <c r="C570">
        <v>8374030</v>
      </c>
      <c r="D570" t="s">
        <v>114</v>
      </c>
      <c r="E570">
        <v>23</v>
      </c>
      <c r="F570" t="s">
        <v>75</v>
      </c>
      <c r="G570" s="10">
        <v>45473</v>
      </c>
      <c r="H570" t="s">
        <v>42</v>
      </c>
      <c r="I570" t="s">
        <v>82</v>
      </c>
      <c r="J570" t="s">
        <v>47</v>
      </c>
      <c r="K570" t="s">
        <v>115</v>
      </c>
      <c r="L570" t="s">
        <v>56</v>
      </c>
      <c r="M570" t="s">
        <v>122</v>
      </c>
      <c r="N570">
        <v>6</v>
      </c>
      <c r="O570" t="s">
        <v>117</v>
      </c>
      <c r="P570" s="11">
        <v>7500</v>
      </c>
      <c r="Q570" t="s">
        <v>63</v>
      </c>
      <c r="R570" s="11">
        <f t="shared" si="16"/>
        <v>7500</v>
      </c>
      <c r="S570" t="str">
        <f t="shared" si="17"/>
        <v>One-Time</v>
      </c>
    </row>
    <row r="571" spans="1:19" ht="15" customHeight="1" x14ac:dyDescent="0.3">
      <c r="A571">
        <v>570</v>
      </c>
      <c r="B571" t="s">
        <v>909</v>
      </c>
      <c r="C571">
        <v>6081434</v>
      </c>
      <c r="D571" t="s">
        <v>114</v>
      </c>
      <c r="E571">
        <v>40</v>
      </c>
      <c r="F571" t="s">
        <v>76</v>
      </c>
      <c r="G571" s="10">
        <v>45474</v>
      </c>
      <c r="H571" t="s">
        <v>43</v>
      </c>
      <c r="I571" t="s">
        <v>82</v>
      </c>
      <c r="J571" t="s">
        <v>47</v>
      </c>
      <c r="K571" t="s">
        <v>115</v>
      </c>
      <c r="L571" t="s">
        <v>56</v>
      </c>
      <c r="M571" t="s">
        <v>122</v>
      </c>
      <c r="N571">
        <v>2</v>
      </c>
      <c r="O571" t="s">
        <v>117</v>
      </c>
      <c r="P571" s="11">
        <v>7500</v>
      </c>
      <c r="Q571" t="s">
        <v>910</v>
      </c>
      <c r="R571" s="11">
        <f t="shared" si="16"/>
        <v>7500</v>
      </c>
      <c r="S571" t="str">
        <f t="shared" si="17"/>
        <v>One-Time</v>
      </c>
    </row>
    <row r="572" spans="1:19" ht="15" customHeight="1" x14ac:dyDescent="0.3">
      <c r="A572">
        <v>571</v>
      </c>
      <c r="B572" t="s">
        <v>911</v>
      </c>
      <c r="C572">
        <v>3658501</v>
      </c>
      <c r="D572" t="s">
        <v>114</v>
      </c>
      <c r="E572">
        <v>25</v>
      </c>
      <c r="F572" t="s">
        <v>75</v>
      </c>
      <c r="G572" s="10">
        <v>45475</v>
      </c>
      <c r="H572" t="s">
        <v>43</v>
      </c>
      <c r="I572" t="s">
        <v>82</v>
      </c>
      <c r="J572" t="s">
        <v>47</v>
      </c>
      <c r="K572" t="s">
        <v>115</v>
      </c>
      <c r="L572" t="s">
        <v>56</v>
      </c>
      <c r="M572" t="s">
        <v>122</v>
      </c>
      <c r="N572">
        <v>32</v>
      </c>
      <c r="O572" t="s">
        <v>117</v>
      </c>
      <c r="P572" s="11">
        <v>7500</v>
      </c>
      <c r="Q572" t="s">
        <v>325</v>
      </c>
      <c r="R572" s="11">
        <f t="shared" si="16"/>
        <v>7500</v>
      </c>
      <c r="S572" t="str">
        <f t="shared" si="17"/>
        <v>One-Time</v>
      </c>
    </row>
    <row r="573" spans="1:19" ht="15" customHeight="1" x14ac:dyDescent="0.3">
      <c r="A573">
        <v>572</v>
      </c>
      <c r="B573" t="s">
        <v>912</v>
      </c>
      <c r="C573">
        <v>7272392</v>
      </c>
      <c r="D573" t="s">
        <v>114</v>
      </c>
      <c r="E573">
        <v>41</v>
      </c>
      <c r="F573" t="s">
        <v>76</v>
      </c>
      <c r="G573" s="10">
        <v>45476</v>
      </c>
      <c r="H573" t="s">
        <v>43</v>
      </c>
      <c r="I573" t="s">
        <v>82</v>
      </c>
      <c r="J573" t="s">
        <v>47</v>
      </c>
      <c r="K573" t="s">
        <v>121</v>
      </c>
      <c r="L573" t="s">
        <v>56</v>
      </c>
      <c r="M573" t="s">
        <v>122</v>
      </c>
      <c r="N573">
        <v>3</v>
      </c>
      <c r="O573" t="s">
        <v>117</v>
      </c>
      <c r="P573" s="11">
        <v>7500</v>
      </c>
      <c r="Q573" t="s">
        <v>200</v>
      </c>
      <c r="R573" s="11">
        <f t="shared" si="16"/>
        <v>7500</v>
      </c>
      <c r="S573" t="str">
        <f t="shared" si="17"/>
        <v>One-Time</v>
      </c>
    </row>
    <row r="574" spans="1:19" ht="15" customHeight="1" x14ac:dyDescent="0.3">
      <c r="A574">
        <v>573</v>
      </c>
      <c r="B574" t="s">
        <v>913</v>
      </c>
      <c r="C574">
        <v>8984518</v>
      </c>
      <c r="D574" t="s">
        <v>114</v>
      </c>
      <c r="E574">
        <v>24</v>
      </c>
      <c r="F574" t="s">
        <v>75</v>
      </c>
      <c r="G574" s="10">
        <v>45477</v>
      </c>
      <c r="H574" t="s">
        <v>43</v>
      </c>
      <c r="I574" t="s">
        <v>82</v>
      </c>
      <c r="J574" t="s">
        <v>47</v>
      </c>
      <c r="K574" t="s">
        <v>121</v>
      </c>
      <c r="L574" t="s">
        <v>56</v>
      </c>
      <c r="M574" t="s">
        <v>122</v>
      </c>
      <c r="N574">
        <v>48</v>
      </c>
      <c r="O574" t="s">
        <v>117</v>
      </c>
      <c r="P574" s="11">
        <v>7500</v>
      </c>
      <c r="Q574" t="s">
        <v>914</v>
      </c>
      <c r="R574" s="11">
        <f t="shared" si="16"/>
        <v>7500</v>
      </c>
      <c r="S574" t="str">
        <f t="shared" si="17"/>
        <v>One-Time</v>
      </c>
    </row>
    <row r="575" spans="1:19" ht="15" customHeight="1" x14ac:dyDescent="0.3">
      <c r="A575">
        <v>574</v>
      </c>
      <c r="B575" t="s">
        <v>915</v>
      </c>
      <c r="C575">
        <v>4461058</v>
      </c>
      <c r="D575" t="s">
        <v>114</v>
      </c>
      <c r="E575">
        <v>31</v>
      </c>
      <c r="F575" t="s">
        <v>76</v>
      </c>
      <c r="G575" s="10">
        <v>45478</v>
      </c>
      <c r="H575" t="s">
        <v>43</v>
      </c>
      <c r="I575" t="s">
        <v>82</v>
      </c>
      <c r="J575" t="s">
        <v>47</v>
      </c>
      <c r="K575" t="s">
        <v>121</v>
      </c>
      <c r="L575" t="s">
        <v>56</v>
      </c>
      <c r="M575" t="s">
        <v>122</v>
      </c>
      <c r="N575">
        <v>5</v>
      </c>
      <c r="O575" t="s">
        <v>117</v>
      </c>
      <c r="P575" s="11">
        <v>7500</v>
      </c>
      <c r="Q575" t="s">
        <v>601</v>
      </c>
      <c r="R575" s="11">
        <f t="shared" si="16"/>
        <v>7500</v>
      </c>
      <c r="S575" t="str">
        <f t="shared" si="17"/>
        <v>One-Time</v>
      </c>
    </row>
    <row r="576" spans="1:19" ht="15" customHeight="1" x14ac:dyDescent="0.3">
      <c r="A576">
        <v>575</v>
      </c>
      <c r="B576" t="s">
        <v>916</v>
      </c>
      <c r="C576">
        <v>9980959</v>
      </c>
      <c r="D576" t="s">
        <v>114</v>
      </c>
      <c r="E576">
        <v>40</v>
      </c>
      <c r="F576" t="s">
        <v>76</v>
      </c>
      <c r="G576" s="10">
        <v>45479</v>
      </c>
      <c r="H576" t="s">
        <v>43</v>
      </c>
      <c r="I576" t="s">
        <v>83</v>
      </c>
      <c r="J576" t="s">
        <v>49</v>
      </c>
      <c r="K576" t="s">
        <v>121</v>
      </c>
      <c r="L576" t="s">
        <v>56</v>
      </c>
      <c r="M576" t="s">
        <v>122</v>
      </c>
      <c r="N576">
        <v>2</v>
      </c>
      <c r="O576" t="s">
        <v>117</v>
      </c>
      <c r="P576" s="11">
        <v>7500</v>
      </c>
      <c r="Q576" t="s">
        <v>257</v>
      </c>
      <c r="R576" s="11">
        <f t="shared" si="16"/>
        <v>0</v>
      </c>
      <c r="S576" t="str">
        <f t="shared" si="17"/>
        <v>One-Time</v>
      </c>
    </row>
    <row r="577" spans="1:19" ht="15" customHeight="1" x14ac:dyDescent="0.3">
      <c r="A577">
        <v>576</v>
      </c>
      <c r="B577" t="s">
        <v>917</v>
      </c>
      <c r="C577">
        <v>5984744</v>
      </c>
      <c r="D577" t="s">
        <v>114</v>
      </c>
      <c r="E577">
        <v>76</v>
      </c>
      <c r="F577" t="s">
        <v>77</v>
      </c>
      <c r="G577" s="10">
        <v>45480</v>
      </c>
      <c r="H577" t="s">
        <v>43</v>
      </c>
      <c r="I577" t="s">
        <v>82</v>
      </c>
      <c r="J577" t="s">
        <v>49</v>
      </c>
      <c r="K577" t="s">
        <v>163</v>
      </c>
      <c r="L577" t="s">
        <v>57</v>
      </c>
      <c r="M577" t="s">
        <v>122</v>
      </c>
      <c r="N577">
        <v>9</v>
      </c>
      <c r="O577" t="s">
        <v>117</v>
      </c>
      <c r="P577" s="11">
        <v>5800</v>
      </c>
      <c r="Q577" t="s">
        <v>66</v>
      </c>
      <c r="R577" s="11">
        <f t="shared" si="16"/>
        <v>5800</v>
      </c>
      <c r="S577" t="str">
        <f t="shared" si="17"/>
        <v>One-Time</v>
      </c>
    </row>
    <row r="578" spans="1:19" ht="15" customHeight="1" x14ac:dyDescent="0.3">
      <c r="A578">
        <v>577</v>
      </c>
      <c r="B578" t="s">
        <v>918</v>
      </c>
      <c r="C578">
        <v>6101487</v>
      </c>
      <c r="D578" t="s">
        <v>114</v>
      </c>
      <c r="E578">
        <v>46</v>
      </c>
      <c r="F578" t="s">
        <v>76</v>
      </c>
      <c r="G578" s="10">
        <v>45481</v>
      </c>
      <c r="H578" t="s">
        <v>43</v>
      </c>
      <c r="I578" t="s">
        <v>82</v>
      </c>
      <c r="J578" t="s">
        <v>49</v>
      </c>
      <c r="K578" t="s">
        <v>165</v>
      </c>
      <c r="L578" t="s">
        <v>57</v>
      </c>
      <c r="M578" t="s">
        <v>122</v>
      </c>
      <c r="N578">
        <v>7</v>
      </c>
      <c r="O578" t="s">
        <v>117</v>
      </c>
      <c r="P578" s="11">
        <v>5800</v>
      </c>
      <c r="Q578" t="s">
        <v>298</v>
      </c>
      <c r="R578" s="11">
        <f t="shared" ref="R578:R641" si="18">IF(I578="Delivered",P578,0)</f>
        <v>5800</v>
      </c>
      <c r="S578" t="str">
        <f t="shared" ref="S578:S641" si="19">IF(COUNTIF($C$2:$C$1501,C578)&gt;1,"Repeat","One-Time")</f>
        <v>One-Time</v>
      </c>
    </row>
    <row r="579" spans="1:19" ht="15" customHeight="1" x14ac:dyDescent="0.3">
      <c r="A579">
        <v>578</v>
      </c>
      <c r="B579" t="s">
        <v>919</v>
      </c>
      <c r="C579">
        <v>4816337</v>
      </c>
      <c r="D579" t="s">
        <v>114</v>
      </c>
      <c r="E579">
        <v>46</v>
      </c>
      <c r="F579" t="s">
        <v>76</v>
      </c>
      <c r="G579" s="10">
        <v>45482</v>
      </c>
      <c r="H579" t="s">
        <v>43</v>
      </c>
      <c r="I579" t="s">
        <v>82</v>
      </c>
      <c r="J579" t="s">
        <v>49</v>
      </c>
      <c r="K579" t="s">
        <v>168</v>
      </c>
      <c r="L579" t="s">
        <v>57</v>
      </c>
      <c r="M579" t="s">
        <v>122</v>
      </c>
      <c r="N579">
        <v>2</v>
      </c>
      <c r="O579" t="s">
        <v>117</v>
      </c>
      <c r="P579" s="11">
        <v>5800</v>
      </c>
      <c r="Q579" t="s">
        <v>483</v>
      </c>
      <c r="R579" s="11">
        <f t="shared" si="18"/>
        <v>5800</v>
      </c>
      <c r="S579" t="str">
        <f t="shared" si="19"/>
        <v>One-Time</v>
      </c>
    </row>
    <row r="580" spans="1:19" ht="15" customHeight="1" x14ac:dyDescent="0.3">
      <c r="A580">
        <v>579</v>
      </c>
      <c r="B580" t="s">
        <v>920</v>
      </c>
      <c r="C580">
        <v>605697</v>
      </c>
      <c r="D580" t="s">
        <v>114</v>
      </c>
      <c r="E580">
        <v>48</v>
      </c>
      <c r="F580" t="s">
        <v>76</v>
      </c>
      <c r="G580" s="10">
        <v>45483</v>
      </c>
      <c r="H580" t="s">
        <v>43</v>
      </c>
      <c r="I580" t="s">
        <v>82</v>
      </c>
      <c r="J580" t="s">
        <v>49</v>
      </c>
      <c r="K580" t="s">
        <v>171</v>
      </c>
      <c r="L580" t="s">
        <v>57</v>
      </c>
      <c r="M580" t="s">
        <v>116</v>
      </c>
      <c r="N580">
        <v>8</v>
      </c>
      <c r="O580" t="s">
        <v>117</v>
      </c>
      <c r="P580" s="11">
        <v>5800</v>
      </c>
      <c r="Q580" t="s">
        <v>62</v>
      </c>
      <c r="R580" s="11">
        <f t="shared" si="18"/>
        <v>5800</v>
      </c>
      <c r="S580" t="str">
        <f t="shared" si="19"/>
        <v>One-Time</v>
      </c>
    </row>
    <row r="581" spans="1:19" ht="15" customHeight="1" x14ac:dyDescent="0.3">
      <c r="A581">
        <v>580</v>
      </c>
      <c r="B581" t="s">
        <v>921</v>
      </c>
      <c r="C581">
        <v>1759089</v>
      </c>
      <c r="D581" t="s">
        <v>114</v>
      </c>
      <c r="E581">
        <v>67</v>
      </c>
      <c r="F581" t="s">
        <v>77</v>
      </c>
      <c r="G581" s="10">
        <v>45484</v>
      </c>
      <c r="H581" t="s">
        <v>43</v>
      </c>
      <c r="I581" t="s">
        <v>82</v>
      </c>
      <c r="J581" t="s">
        <v>49</v>
      </c>
      <c r="K581" t="s">
        <v>173</v>
      </c>
      <c r="L581" t="s">
        <v>57</v>
      </c>
      <c r="M581" t="s">
        <v>116</v>
      </c>
      <c r="N581">
        <v>4</v>
      </c>
      <c r="O581" t="s">
        <v>117</v>
      </c>
      <c r="P581" s="11">
        <v>5800</v>
      </c>
      <c r="Q581" t="s">
        <v>62</v>
      </c>
      <c r="R581" s="11">
        <f t="shared" si="18"/>
        <v>5800</v>
      </c>
      <c r="S581" t="str">
        <f t="shared" si="19"/>
        <v>One-Time</v>
      </c>
    </row>
    <row r="582" spans="1:19" ht="15" customHeight="1" x14ac:dyDescent="0.3">
      <c r="A582">
        <v>581</v>
      </c>
      <c r="B582" t="s">
        <v>922</v>
      </c>
      <c r="C582">
        <v>6149021</v>
      </c>
      <c r="D582" t="s">
        <v>114</v>
      </c>
      <c r="E582">
        <v>64</v>
      </c>
      <c r="F582" t="s">
        <v>77</v>
      </c>
      <c r="G582" s="10">
        <v>45485</v>
      </c>
      <c r="H582" t="s">
        <v>43</v>
      </c>
      <c r="I582" t="s">
        <v>82</v>
      </c>
      <c r="J582" t="s">
        <v>49</v>
      </c>
      <c r="K582" t="s">
        <v>176</v>
      </c>
      <c r="L582" t="s">
        <v>57</v>
      </c>
      <c r="M582" t="s">
        <v>116</v>
      </c>
      <c r="N582">
        <v>5</v>
      </c>
      <c r="O582" t="s">
        <v>117</v>
      </c>
      <c r="P582" s="11">
        <v>5800</v>
      </c>
      <c r="Q582" t="s">
        <v>923</v>
      </c>
      <c r="R582" s="11">
        <f t="shared" si="18"/>
        <v>5800</v>
      </c>
      <c r="S582" t="str">
        <f t="shared" si="19"/>
        <v>Repeat</v>
      </c>
    </row>
    <row r="583" spans="1:19" ht="15" customHeight="1" x14ac:dyDescent="0.3">
      <c r="A583">
        <v>582</v>
      </c>
      <c r="B583" t="s">
        <v>922</v>
      </c>
      <c r="C583">
        <v>6149021</v>
      </c>
      <c r="D583" t="s">
        <v>114</v>
      </c>
      <c r="E583">
        <v>33</v>
      </c>
      <c r="F583" t="s">
        <v>76</v>
      </c>
      <c r="G583" s="10">
        <v>45486</v>
      </c>
      <c r="H583" t="s">
        <v>43</v>
      </c>
      <c r="I583" t="s">
        <v>82</v>
      </c>
      <c r="J583" t="s">
        <v>49</v>
      </c>
      <c r="K583" t="s">
        <v>179</v>
      </c>
      <c r="L583" t="s">
        <v>57</v>
      </c>
      <c r="M583" t="s">
        <v>116</v>
      </c>
      <c r="N583">
        <v>6</v>
      </c>
      <c r="O583" t="s">
        <v>117</v>
      </c>
      <c r="P583" s="11">
        <v>5500</v>
      </c>
      <c r="Q583" t="s">
        <v>65</v>
      </c>
      <c r="R583" s="11">
        <f t="shared" si="18"/>
        <v>5500</v>
      </c>
      <c r="S583" t="str">
        <f t="shared" si="19"/>
        <v>Repeat</v>
      </c>
    </row>
    <row r="584" spans="1:19" ht="15" customHeight="1" x14ac:dyDescent="0.3">
      <c r="A584">
        <v>583</v>
      </c>
      <c r="B584" t="s">
        <v>924</v>
      </c>
      <c r="C584">
        <v>290999</v>
      </c>
      <c r="D584" t="s">
        <v>114</v>
      </c>
      <c r="E584">
        <v>41</v>
      </c>
      <c r="F584" t="s">
        <v>76</v>
      </c>
      <c r="G584" s="10">
        <v>45487</v>
      </c>
      <c r="H584" t="s">
        <v>43</v>
      </c>
      <c r="I584" t="s">
        <v>82</v>
      </c>
      <c r="J584" t="s">
        <v>49</v>
      </c>
      <c r="K584" t="s">
        <v>182</v>
      </c>
      <c r="L584" t="s">
        <v>57</v>
      </c>
      <c r="M584" t="s">
        <v>116</v>
      </c>
      <c r="N584">
        <v>31</v>
      </c>
      <c r="O584" t="s">
        <v>117</v>
      </c>
      <c r="P584" s="11">
        <v>5500</v>
      </c>
      <c r="Q584" t="s">
        <v>925</v>
      </c>
      <c r="R584" s="11">
        <f t="shared" si="18"/>
        <v>5500</v>
      </c>
      <c r="S584" t="str">
        <f t="shared" si="19"/>
        <v>Repeat</v>
      </c>
    </row>
    <row r="585" spans="1:19" ht="15" customHeight="1" x14ac:dyDescent="0.3">
      <c r="A585">
        <v>584</v>
      </c>
      <c r="B585" t="s">
        <v>924</v>
      </c>
      <c r="C585">
        <v>290999</v>
      </c>
      <c r="D585" t="s">
        <v>114</v>
      </c>
      <c r="E585">
        <v>73</v>
      </c>
      <c r="F585" t="s">
        <v>77</v>
      </c>
      <c r="G585" s="10">
        <v>45488</v>
      </c>
      <c r="H585" t="s">
        <v>43</v>
      </c>
      <c r="I585" t="s">
        <v>82</v>
      </c>
      <c r="J585" t="s">
        <v>49</v>
      </c>
      <c r="K585" t="s">
        <v>184</v>
      </c>
      <c r="L585" t="s">
        <v>57</v>
      </c>
      <c r="M585" t="s">
        <v>116</v>
      </c>
      <c r="N585">
        <v>2</v>
      </c>
      <c r="O585" t="s">
        <v>117</v>
      </c>
      <c r="P585" s="11">
        <v>5500</v>
      </c>
      <c r="Q585" t="s">
        <v>218</v>
      </c>
      <c r="R585" s="11">
        <f t="shared" si="18"/>
        <v>5500</v>
      </c>
      <c r="S585" t="str">
        <f t="shared" si="19"/>
        <v>Repeat</v>
      </c>
    </row>
    <row r="586" spans="1:19" ht="15" customHeight="1" x14ac:dyDescent="0.3">
      <c r="A586">
        <v>585</v>
      </c>
      <c r="B586" t="s">
        <v>926</v>
      </c>
      <c r="C586">
        <v>7562871</v>
      </c>
      <c r="D586" t="s">
        <v>114</v>
      </c>
      <c r="E586">
        <v>25</v>
      </c>
      <c r="F586" t="s">
        <v>75</v>
      </c>
      <c r="G586" s="10">
        <v>45489</v>
      </c>
      <c r="H586" t="s">
        <v>43</v>
      </c>
      <c r="I586" t="s">
        <v>82</v>
      </c>
      <c r="J586" t="s">
        <v>49</v>
      </c>
      <c r="K586" t="s">
        <v>187</v>
      </c>
      <c r="L586" t="s">
        <v>57</v>
      </c>
      <c r="M586" t="s">
        <v>116</v>
      </c>
      <c r="N586">
        <v>5</v>
      </c>
      <c r="O586" t="s">
        <v>117</v>
      </c>
      <c r="P586" s="11">
        <v>5500</v>
      </c>
      <c r="Q586" t="s">
        <v>927</v>
      </c>
      <c r="R586" s="11">
        <f t="shared" si="18"/>
        <v>5500</v>
      </c>
      <c r="S586" t="str">
        <f t="shared" si="19"/>
        <v>One-Time</v>
      </c>
    </row>
    <row r="587" spans="1:19" ht="15" customHeight="1" x14ac:dyDescent="0.3">
      <c r="A587">
        <v>586</v>
      </c>
      <c r="B587" t="s">
        <v>928</v>
      </c>
      <c r="C587">
        <v>4777340</v>
      </c>
      <c r="D587" t="s">
        <v>114</v>
      </c>
      <c r="E587">
        <v>26</v>
      </c>
      <c r="F587" t="s">
        <v>75</v>
      </c>
      <c r="G587" s="10">
        <v>45490</v>
      </c>
      <c r="H587" t="s">
        <v>43</v>
      </c>
      <c r="I587" t="s">
        <v>82</v>
      </c>
      <c r="J587" t="s">
        <v>49</v>
      </c>
      <c r="K587" t="s">
        <v>190</v>
      </c>
      <c r="L587" t="s">
        <v>57</v>
      </c>
      <c r="M587" t="s">
        <v>116</v>
      </c>
      <c r="N587">
        <v>5</v>
      </c>
      <c r="O587" t="s">
        <v>117</v>
      </c>
      <c r="P587" s="11">
        <v>5500</v>
      </c>
      <c r="Q587" t="s">
        <v>929</v>
      </c>
      <c r="R587" s="11">
        <f t="shared" si="18"/>
        <v>5500</v>
      </c>
      <c r="S587" t="str">
        <f t="shared" si="19"/>
        <v>Repeat</v>
      </c>
    </row>
    <row r="588" spans="1:19" ht="15" customHeight="1" x14ac:dyDescent="0.3">
      <c r="A588">
        <v>587</v>
      </c>
      <c r="B588" t="s">
        <v>928</v>
      </c>
      <c r="C588">
        <v>4777340</v>
      </c>
      <c r="D588" t="s">
        <v>114</v>
      </c>
      <c r="E588">
        <v>46</v>
      </c>
      <c r="F588" t="s">
        <v>76</v>
      </c>
      <c r="G588" s="10">
        <v>45491</v>
      </c>
      <c r="H588" t="s">
        <v>43</v>
      </c>
      <c r="I588" t="s">
        <v>82</v>
      </c>
      <c r="J588" t="s">
        <v>49</v>
      </c>
      <c r="K588" t="s">
        <v>193</v>
      </c>
      <c r="L588" t="s">
        <v>57</v>
      </c>
      <c r="M588" t="s">
        <v>116</v>
      </c>
      <c r="N588">
        <v>8</v>
      </c>
      <c r="O588" t="s">
        <v>117</v>
      </c>
      <c r="P588" s="11">
        <v>6000</v>
      </c>
      <c r="Q588" t="s">
        <v>62</v>
      </c>
      <c r="R588" s="11">
        <f t="shared" si="18"/>
        <v>6000</v>
      </c>
      <c r="S588" t="str">
        <f t="shared" si="19"/>
        <v>Repeat</v>
      </c>
    </row>
    <row r="589" spans="1:19" ht="15" customHeight="1" x14ac:dyDescent="0.3">
      <c r="A589">
        <v>588</v>
      </c>
      <c r="B589" t="s">
        <v>930</v>
      </c>
      <c r="C589">
        <v>5372960</v>
      </c>
      <c r="D589" t="s">
        <v>114</v>
      </c>
      <c r="E589">
        <v>44</v>
      </c>
      <c r="F589" t="s">
        <v>76</v>
      </c>
      <c r="G589" s="10">
        <v>45492</v>
      </c>
      <c r="H589" t="s">
        <v>43</v>
      </c>
      <c r="I589" t="s">
        <v>82</v>
      </c>
      <c r="J589" t="s">
        <v>49</v>
      </c>
      <c r="K589" t="s">
        <v>196</v>
      </c>
      <c r="L589" t="s">
        <v>57</v>
      </c>
      <c r="M589" t="s">
        <v>116</v>
      </c>
      <c r="N589">
        <v>9</v>
      </c>
      <c r="O589" t="s">
        <v>117</v>
      </c>
      <c r="P589" s="11">
        <v>6000</v>
      </c>
      <c r="Q589" t="s">
        <v>64</v>
      </c>
      <c r="R589" s="11">
        <f t="shared" si="18"/>
        <v>6000</v>
      </c>
      <c r="S589" t="str">
        <f t="shared" si="19"/>
        <v>One-Time</v>
      </c>
    </row>
    <row r="590" spans="1:19" ht="15" customHeight="1" x14ac:dyDescent="0.3">
      <c r="A590">
        <v>589</v>
      </c>
      <c r="B590" t="s">
        <v>931</v>
      </c>
      <c r="C590">
        <v>2526682</v>
      </c>
      <c r="D590" t="s">
        <v>114</v>
      </c>
      <c r="E590">
        <v>47</v>
      </c>
      <c r="F590" t="s">
        <v>76</v>
      </c>
      <c r="G590" s="10">
        <v>45493</v>
      </c>
      <c r="H590" t="s">
        <v>43</v>
      </c>
      <c r="I590" t="s">
        <v>82</v>
      </c>
      <c r="J590" t="s">
        <v>49</v>
      </c>
      <c r="K590" t="s">
        <v>198</v>
      </c>
      <c r="L590" t="s">
        <v>57</v>
      </c>
      <c r="M590" t="s">
        <v>116</v>
      </c>
      <c r="N590">
        <v>4</v>
      </c>
      <c r="O590" t="s">
        <v>117</v>
      </c>
      <c r="P590" s="11">
        <v>6000</v>
      </c>
      <c r="Q590" t="s">
        <v>67</v>
      </c>
      <c r="R590" s="11">
        <f t="shared" si="18"/>
        <v>6000</v>
      </c>
      <c r="S590" t="str">
        <f t="shared" si="19"/>
        <v>One-Time</v>
      </c>
    </row>
    <row r="591" spans="1:19" ht="15" customHeight="1" x14ac:dyDescent="0.3">
      <c r="A591">
        <v>590</v>
      </c>
      <c r="B591" t="s">
        <v>932</v>
      </c>
      <c r="C591">
        <v>6073591</v>
      </c>
      <c r="D591" t="s">
        <v>114</v>
      </c>
      <c r="E591">
        <v>28</v>
      </c>
      <c r="F591" t="s">
        <v>75</v>
      </c>
      <c r="G591" s="10">
        <v>45494</v>
      </c>
      <c r="H591" t="s">
        <v>43</v>
      </c>
      <c r="I591" t="s">
        <v>84</v>
      </c>
      <c r="J591" t="s">
        <v>49</v>
      </c>
      <c r="K591" t="s">
        <v>163</v>
      </c>
      <c r="L591" t="s">
        <v>57</v>
      </c>
      <c r="M591" t="s">
        <v>116</v>
      </c>
      <c r="N591">
        <v>7</v>
      </c>
      <c r="O591" t="s">
        <v>117</v>
      </c>
      <c r="P591" s="11">
        <v>6000</v>
      </c>
      <c r="Q591" t="s">
        <v>524</v>
      </c>
      <c r="R591" s="11">
        <f t="shared" si="18"/>
        <v>0</v>
      </c>
      <c r="S591" t="str">
        <f t="shared" si="19"/>
        <v>One-Time</v>
      </c>
    </row>
    <row r="592" spans="1:19" ht="15" customHeight="1" x14ac:dyDescent="0.3">
      <c r="A592">
        <v>591</v>
      </c>
      <c r="B592" t="s">
        <v>933</v>
      </c>
      <c r="C592">
        <v>2229567</v>
      </c>
      <c r="D592" t="s">
        <v>114</v>
      </c>
      <c r="E592">
        <v>31</v>
      </c>
      <c r="F592" t="s">
        <v>76</v>
      </c>
      <c r="G592" s="10">
        <v>45495</v>
      </c>
      <c r="H592" t="s">
        <v>43</v>
      </c>
      <c r="I592" t="s">
        <v>82</v>
      </c>
      <c r="J592" t="s">
        <v>49</v>
      </c>
      <c r="K592" t="s">
        <v>163</v>
      </c>
      <c r="L592" t="s">
        <v>57</v>
      </c>
      <c r="M592" t="s">
        <v>116</v>
      </c>
      <c r="N592">
        <v>8</v>
      </c>
      <c r="O592" t="s">
        <v>117</v>
      </c>
      <c r="P592" s="11">
        <v>6000</v>
      </c>
      <c r="Q592" t="s">
        <v>65</v>
      </c>
      <c r="R592" s="11">
        <f t="shared" si="18"/>
        <v>6000</v>
      </c>
      <c r="S592" t="str">
        <f t="shared" si="19"/>
        <v>One-Time</v>
      </c>
    </row>
    <row r="593" spans="1:19" ht="15" customHeight="1" x14ac:dyDescent="0.3">
      <c r="A593">
        <v>592</v>
      </c>
      <c r="B593" t="s">
        <v>934</v>
      </c>
      <c r="C593">
        <v>7874045</v>
      </c>
      <c r="D593" t="s">
        <v>114</v>
      </c>
      <c r="E593">
        <v>73</v>
      </c>
      <c r="F593" t="s">
        <v>77</v>
      </c>
      <c r="G593" s="10">
        <v>45496</v>
      </c>
      <c r="H593" t="s">
        <v>43</v>
      </c>
      <c r="I593" t="s">
        <v>85</v>
      </c>
      <c r="J593" t="s">
        <v>49</v>
      </c>
      <c r="K593" t="s">
        <v>163</v>
      </c>
      <c r="L593" t="s">
        <v>57</v>
      </c>
      <c r="M593" t="s">
        <v>116</v>
      </c>
      <c r="N593">
        <v>9</v>
      </c>
      <c r="O593" t="s">
        <v>117</v>
      </c>
      <c r="P593" s="11">
        <v>6000</v>
      </c>
      <c r="Q593" t="s">
        <v>601</v>
      </c>
      <c r="R593" s="11">
        <f t="shared" si="18"/>
        <v>0</v>
      </c>
      <c r="S593" t="str">
        <f t="shared" si="19"/>
        <v>One-Time</v>
      </c>
    </row>
    <row r="594" spans="1:19" ht="15" customHeight="1" x14ac:dyDescent="0.3">
      <c r="A594">
        <v>593</v>
      </c>
      <c r="B594" t="s">
        <v>935</v>
      </c>
      <c r="C594">
        <v>6811391</v>
      </c>
      <c r="D594" t="s">
        <v>114</v>
      </c>
      <c r="E594">
        <v>40</v>
      </c>
      <c r="F594" t="s">
        <v>76</v>
      </c>
      <c r="G594" s="10">
        <v>45497</v>
      </c>
      <c r="H594" t="s">
        <v>43</v>
      </c>
      <c r="I594" t="s">
        <v>82</v>
      </c>
      <c r="J594" t="s">
        <v>49</v>
      </c>
      <c r="K594" t="s">
        <v>163</v>
      </c>
      <c r="L594" t="s">
        <v>57</v>
      </c>
      <c r="M594" t="s">
        <v>116</v>
      </c>
      <c r="N594">
        <v>7</v>
      </c>
      <c r="O594" t="s">
        <v>117</v>
      </c>
      <c r="P594" s="11">
        <v>6000</v>
      </c>
      <c r="Q594" t="s">
        <v>62</v>
      </c>
      <c r="R594" s="11">
        <f t="shared" si="18"/>
        <v>6000</v>
      </c>
      <c r="S594" t="str">
        <f t="shared" si="19"/>
        <v>One-Time</v>
      </c>
    </row>
    <row r="595" spans="1:19" ht="15" customHeight="1" x14ac:dyDescent="0.3">
      <c r="A595">
        <v>594</v>
      </c>
      <c r="B595" t="s">
        <v>936</v>
      </c>
      <c r="C595">
        <v>6078306</v>
      </c>
      <c r="D595" t="s">
        <v>114</v>
      </c>
      <c r="E595">
        <v>39</v>
      </c>
      <c r="F595" t="s">
        <v>76</v>
      </c>
      <c r="G595" s="10">
        <v>45498</v>
      </c>
      <c r="H595" t="s">
        <v>43</v>
      </c>
      <c r="I595" t="s">
        <v>82</v>
      </c>
      <c r="J595" t="s">
        <v>49</v>
      </c>
      <c r="K595" t="s">
        <v>163</v>
      </c>
      <c r="L595" t="s">
        <v>57</v>
      </c>
      <c r="M595" t="s">
        <v>116</v>
      </c>
      <c r="N595">
        <v>6</v>
      </c>
      <c r="O595" t="s">
        <v>117</v>
      </c>
      <c r="P595" s="11">
        <v>6000</v>
      </c>
      <c r="Q595" t="s">
        <v>371</v>
      </c>
      <c r="R595" s="11">
        <f t="shared" si="18"/>
        <v>6000</v>
      </c>
      <c r="S595" t="str">
        <f t="shared" si="19"/>
        <v>One-Time</v>
      </c>
    </row>
    <row r="596" spans="1:19" ht="15" customHeight="1" x14ac:dyDescent="0.3">
      <c r="A596">
        <v>595</v>
      </c>
      <c r="B596" t="s">
        <v>937</v>
      </c>
      <c r="C596">
        <v>4034081</v>
      </c>
      <c r="D596" t="s">
        <v>114</v>
      </c>
      <c r="E596">
        <v>55</v>
      </c>
      <c r="F596" t="s">
        <v>77</v>
      </c>
      <c r="G596" s="10">
        <v>45499</v>
      </c>
      <c r="H596" t="s">
        <v>43</v>
      </c>
      <c r="I596" t="s">
        <v>82</v>
      </c>
      <c r="J596" t="s">
        <v>49</v>
      </c>
      <c r="K596" t="s">
        <v>163</v>
      </c>
      <c r="L596" t="s">
        <v>57</v>
      </c>
      <c r="M596" t="s">
        <v>116</v>
      </c>
      <c r="N596">
        <v>2</v>
      </c>
      <c r="O596" t="s">
        <v>117</v>
      </c>
      <c r="P596" s="11">
        <v>6000</v>
      </c>
      <c r="Q596" t="s">
        <v>938</v>
      </c>
      <c r="R596" s="11">
        <f t="shared" si="18"/>
        <v>6000</v>
      </c>
      <c r="S596" t="str">
        <f t="shared" si="19"/>
        <v>Repeat</v>
      </c>
    </row>
    <row r="597" spans="1:19" ht="15" customHeight="1" x14ac:dyDescent="0.3">
      <c r="A597">
        <v>596</v>
      </c>
      <c r="B597" t="s">
        <v>937</v>
      </c>
      <c r="C597">
        <v>4034081</v>
      </c>
      <c r="D597" t="s">
        <v>114</v>
      </c>
      <c r="E597">
        <v>31</v>
      </c>
      <c r="F597" t="s">
        <v>76</v>
      </c>
      <c r="G597" s="10">
        <v>45500</v>
      </c>
      <c r="H597" t="s">
        <v>43</v>
      </c>
      <c r="I597" t="s">
        <v>82</v>
      </c>
      <c r="J597" t="s">
        <v>49</v>
      </c>
      <c r="K597" t="s">
        <v>163</v>
      </c>
      <c r="L597" t="s">
        <v>57</v>
      </c>
      <c r="M597" t="s">
        <v>116</v>
      </c>
      <c r="N597">
        <v>8</v>
      </c>
      <c r="O597" t="s">
        <v>117</v>
      </c>
      <c r="P597" s="11">
        <v>6000</v>
      </c>
      <c r="Q597" t="s">
        <v>939</v>
      </c>
      <c r="R597" s="11">
        <f t="shared" si="18"/>
        <v>6000</v>
      </c>
      <c r="S597" t="str">
        <f t="shared" si="19"/>
        <v>Repeat</v>
      </c>
    </row>
    <row r="598" spans="1:19" ht="15" customHeight="1" x14ac:dyDescent="0.3">
      <c r="A598">
        <v>597</v>
      </c>
      <c r="B598" t="s">
        <v>940</v>
      </c>
      <c r="C598">
        <v>3374384</v>
      </c>
      <c r="D598" t="s">
        <v>114</v>
      </c>
      <c r="E598">
        <v>24</v>
      </c>
      <c r="F598" t="s">
        <v>75</v>
      </c>
      <c r="G598" s="10">
        <v>45501</v>
      </c>
      <c r="H598" t="s">
        <v>43</v>
      </c>
      <c r="I598" t="s">
        <v>82</v>
      </c>
      <c r="J598" t="s">
        <v>49</v>
      </c>
      <c r="K598" t="s">
        <v>163</v>
      </c>
      <c r="L598" t="s">
        <v>57</v>
      </c>
      <c r="M598" t="s">
        <v>116</v>
      </c>
      <c r="N598">
        <v>4</v>
      </c>
      <c r="O598" t="s">
        <v>117</v>
      </c>
      <c r="P598" s="11">
        <v>6000</v>
      </c>
      <c r="Q598" t="s">
        <v>941</v>
      </c>
      <c r="R598" s="11">
        <f t="shared" si="18"/>
        <v>6000</v>
      </c>
      <c r="S598" t="str">
        <f t="shared" si="19"/>
        <v>One-Time</v>
      </c>
    </row>
    <row r="599" spans="1:19" ht="15" customHeight="1" x14ac:dyDescent="0.3">
      <c r="A599">
        <v>598</v>
      </c>
      <c r="B599" t="s">
        <v>942</v>
      </c>
      <c r="C599">
        <v>4369754</v>
      </c>
      <c r="D599" t="s">
        <v>114</v>
      </c>
      <c r="E599">
        <v>70</v>
      </c>
      <c r="F599" t="s">
        <v>77</v>
      </c>
      <c r="G599" s="10">
        <v>45502</v>
      </c>
      <c r="H599" t="s">
        <v>43</v>
      </c>
      <c r="I599" t="s">
        <v>82</v>
      </c>
      <c r="J599" t="s">
        <v>49</v>
      </c>
      <c r="K599" t="s">
        <v>168</v>
      </c>
      <c r="L599" t="s">
        <v>57</v>
      </c>
      <c r="M599" t="s">
        <v>116</v>
      </c>
      <c r="N599">
        <v>6</v>
      </c>
      <c r="O599" t="s">
        <v>117</v>
      </c>
      <c r="P599" s="11">
        <v>6000</v>
      </c>
      <c r="Q599" t="s">
        <v>943</v>
      </c>
      <c r="R599" s="11">
        <f t="shared" si="18"/>
        <v>6000</v>
      </c>
      <c r="S599" t="str">
        <f t="shared" si="19"/>
        <v>One-Time</v>
      </c>
    </row>
    <row r="600" spans="1:19" ht="15" customHeight="1" x14ac:dyDescent="0.3">
      <c r="A600">
        <v>599</v>
      </c>
      <c r="B600" t="s">
        <v>944</v>
      </c>
      <c r="C600">
        <v>9530023</v>
      </c>
      <c r="D600" t="s">
        <v>114</v>
      </c>
      <c r="E600">
        <v>50</v>
      </c>
      <c r="F600" t="s">
        <v>77</v>
      </c>
      <c r="G600" s="10">
        <v>45503</v>
      </c>
      <c r="H600" t="s">
        <v>43</v>
      </c>
      <c r="I600" t="s">
        <v>83</v>
      </c>
      <c r="J600" t="s">
        <v>49</v>
      </c>
      <c r="K600" t="s">
        <v>168</v>
      </c>
      <c r="L600" t="s">
        <v>57</v>
      </c>
      <c r="M600" t="s">
        <v>116</v>
      </c>
      <c r="N600">
        <v>5</v>
      </c>
      <c r="O600" t="s">
        <v>117</v>
      </c>
      <c r="P600" s="11">
        <v>6000</v>
      </c>
      <c r="Q600" t="s">
        <v>945</v>
      </c>
      <c r="R600" s="11">
        <f t="shared" si="18"/>
        <v>0</v>
      </c>
      <c r="S600" t="str">
        <f t="shared" si="19"/>
        <v>One-Time</v>
      </c>
    </row>
    <row r="601" spans="1:19" ht="15" customHeight="1" x14ac:dyDescent="0.3">
      <c r="A601">
        <v>600</v>
      </c>
      <c r="B601" t="s">
        <v>946</v>
      </c>
      <c r="C601">
        <v>6608262</v>
      </c>
      <c r="D601" t="s">
        <v>114</v>
      </c>
      <c r="E601">
        <v>44</v>
      </c>
      <c r="F601" t="s">
        <v>76</v>
      </c>
      <c r="G601" s="10">
        <v>45504</v>
      </c>
      <c r="H601" t="s">
        <v>43</v>
      </c>
      <c r="I601" t="s">
        <v>82</v>
      </c>
      <c r="J601" t="s">
        <v>49</v>
      </c>
      <c r="K601" t="s">
        <v>168</v>
      </c>
      <c r="L601" t="s">
        <v>57</v>
      </c>
      <c r="M601" t="s">
        <v>116</v>
      </c>
      <c r="N601">
        <v>23</v>
      </c>
      <c r="O601" t="s">
        <v>117</v>
      </c>
      <c r="P601" s="11">
        <v>6000</v>
      </c>
      <c r="Q601" t="s">
        <v>265</v>
      </c>
      <c r="R601" s="11">
        <f t="shared" si="18"/>
        <v>6000</v>
      </c>
      <c r="S601" t="str">
        <f t="shared" si="19"/>
        <v>Repeat</v>
      </c>
    </row>
    <row r="602" spans="1:19" ht="15" customHeight="1" x14ac:dyDescent="0.3">
      <c r="A602">
        <v>601</v>
      </c>
      <c r="B602" t="s">
        <v>946</v>
      </c>
      <c r="C602">
        <v>6608262</v>
      </c>
      <c r="D602" t="s">
        <v>114</v>
      </c>
      <c r="E602">
        <v>45</v>
      </c>
      <c r="F602" t="s">
        <v>76</v>
      </c>
      <c r="G602" s="10">
        <v>45505</v>
      </c>
      <c r="H602" t="s">
        <v>44</v>
      </c>
      <c r="I602" t="s">
        <v>82</v>
      </c>
      <c r="J602" t="s">
        <v>49</v>
      </c>
      <c r="K602" t="s">
        <v>168</v>
      </c>
      <c r="L602" t="s">
        <v>57</v>
      </c>
      <c r="M602" t="s">
        <v>116</v>
      </c>
      <c r="N602">
        <v>2</v>
      </c>
      <c r="O602" t="s">
        <v>117</v>
      </c>
      <c r="P602" s="11">
        <v>6000</v>
      </c>
      <c r="Q602" t="s">
        <v>371</v>
      </c>
      <c r="R602" s="11">
        <f t="shared" si="18"/>
        <v>6000</v>
      </c>
      <c r="S602" t="str">
        <f t="shared" si="19"/>
        <v>Repeat</v>
      </c>
    </row>
    <row r="603" spans="1:19" ht="15" customHeight="1" x14ac:dyDescent="0.3">
      <c r="A603">
        <v>602</v>
      </c>
      <c r="B603" t="s">
        <v>947</v>
      </c>
      <c r="C603">
        <v>6067494</v>
      </c>
      <c r="D603" t="s">
        <v>114</v>
      </c>
      <c r="E603">
        <v>78</v>
      </c>
      <c r="F603" t="s">
        <v>77</v>
      </c>
      <c r="G603" s="10">
        <v>45506</v>
      </c>
      <c r="H603" t="s">
        <v>44</v>
      </c>
      <c r="I603" t="s">
        <v>83</v>
      </c>
      <c r="J603" t="s">
        <v>49</v>
      </c>
      <c r="K603" t="s">
        <v>168</v>
      </c>
      <c r="L603" t="s">
        <v>57</v>
      </c>
      <c r="M603" t="s">
        <v>116</v>
      </c>
      <c r="N603">
        <v>5</v>
      </c>
      <c r="O603" t="s">
        <v>117</v>
      </c>
      <c r="P603" s="11">
        <v>5900</v>
      </c>
      <c r="Q603" t="s">
        <v>524</v>
      </c>
      <c r="R603" s="11">
        <f t="shared" si="18"/>
        <v>0</v>
      </c>
      <c r="S603" t="str">
        <f t="shared" si="19"/>
        <v>One-Time</v>
      </c>
    </row>
    <row r="604" spans="1:19" ht="15" customHeight="1" x14ac:dyDescent="0.3">
      <c r="A604">
        <v>603</v>
      </c>
      <c r="B604" t="s">
        <v>948</v>
      </c>
      <c r="C604">
        <v>6126480</v>
      </c>
      <c r="D604" t="s">
        <v>114</v>
      </c>
      <c r="E604">
        <v>44</v>
      </c>
      <c r="F604" t="s">
        <v>76</v>
      </c>
      <c r="G604" s="10">
        <v>45507</v>
      </c>
      <c r="H604" t="s">
        <v>44</v>
      </c>
      <c r="I604" t="s">
        <v>82</v>
      </c>
      <c r="J604" t="s">
        <v>49</v>
      </c>
      <c r="K604" t="s">
        <v>168</v>
      </c>
      <c r="L604" t="s">
        <v>57</v>
      </c>
      <c r="M604" t="s">
        <v>116</v>
      </c>
      <c r="N604">
        <v>9</v>
      </c>
      <c r="O604" t="s">
        <v>117</v>
      </c>
      <c r="P604" s="11">
        <v>5900</v>
      </c>
      <c r="Q604" t="s">
        <v>949</v>
      </c>
      <c r="R604" s="11">
        <f t="shared" si="18"/>
        <v>5900</v>
      </c>
      <c r="S604" t="str">
        <f t="shared" si="19"/>
        <v>One-Time</v>
      </c>
    </row>
    <row r="605" spans="1:19" ht="15" customHeight="1" x14ac:dyDescent="0.3">
      <c r="A605">
        <v>604</v>
      </c>
      <c r="B605" t="s">
        <v>950</v>
      </c>
      <c r="C605">
        <v>3151405</v>
      </c>
      <c r="D605" t="s">
        <v>114</v>
      </c>
      <c r="E605">
        <v>22</v>
      </c>
      <c r="F605" t="s">
        <v>75</v>
      </c>
      <c r="G605" s="10">
        <v>45508</v>
      </c>
      <c r="H605" t="s">
        <v>44</v>
      </c>
      <c r="I605" t="s">
        <v>82</v>
      </c>
      <c r="J605" t="s">
        <v>49</v>
      </c>
      <c r="K605" t="s">
        <v>168</v>
      </c>
      <c r="L605" t="s">
        <v>57</v>
      </c>
      <c r="M605" t="s">
        <v>116</v>
      </c>
      <c r="N605">
        <v>27</v>
      </c>
      <c r="O605" t="s">
        <v>117</v>
      </c>
      <c r="P605" s="11">
        <v>5900</v>
      </c>
      <c r="Q605" t="s">
        <v>63</v>
      </c>
      <c r="R605" s="11">
        <f t="shared" si="18"/>
        <v>5900</v>
      </c>
      <c r="S605" t="str">
        <f t="shared" si="19"/>
        <v>One-Time</v>
      </c>
    </row>
    <row r="606" spans="1:19" ht="15" customHeight="1" x14ac:dyDescent="0.3">
      <c r="A606">
        <v>605</v>
      </c>
      <c r="B606" t="s">
        <v>951</v>
      </c>
      <c r="C606">
        <v>3362405</v>
      </c>
      <c r="D606" t="s">
        <v>114</v>
      </c>
      <c r="E606">
        <v>31</v>
      </c>
      <c r="F606" t="s">
        <v>76</v>
      </c>
      <c r="G606" s="10">
        <v>45509</v>
      </c>
      <c r="H606" t="s">
        <v>44</v>
      </c>
      <c r="I606" t="s">
        <v>82</v>
      </c>
      <c r="J606" t="s">
        <v>49</v>
      </c>
      <c r="K606" t="s">
        <v>168</v>
      </c>
      <c r="L606" t="s">
        <v>57</v>
      </c>
      <c r="M606" t="s">
        <v>116</v>
      </c>
      <c r="N606">
        <v>6</v>
      </c>
      <c r="O606" t="s">
        <v>117</v>
      </c>
      <c r="P606" s="11">
        <v>5900</v>
      </c>
      <c r="Q606" t="s">
        <v>952</v>
      </c>
      <c r="R606" s="11">
        <f t="shared" si="18"/>
        <v>5900</v>
      </c>
      <c r="S606" t="str">
        <f t="shared" si="19"/>
        <v>One-Time</v>
      </c>
    </row>
    <row r="607" spans="1:19" ht="15" customHeight="1" x14ac:dyDescent="0.3">
      <c r="A607">
        <v>606</v>
      </c>
      <c r="B607" t="s">
        <v>953</v>
      </c>
      <c r="C607">
        <v>7255132</v>
      </c>
      <c r="D607" t="s">
        <v>114</v>
      </c>
      <c r="E607">
        <v>58</v>
      </c>
      <c r="F607" t="s">
        <v>77</v>
      </c>
      <c r="G607" s="10">
        <v>45510</v>
      </c>
      <c r="H607" t="s">
        <v>44</v>
      </c>
      <c r="I607" t="s">
        <v>82</v>
      </c>
      <c r="J607" t="s">
        <v>49</v>
      </c>
      <c r="K607" t="s">
        <v>168</v>
      </c>
      <c r="L607" t="s">
        <v>57</v>
      </c>
      <c r="M607" t="s">
        <v>116</v>
      </c>
      <c r="N607">
        <v>6</v>
      </c>
      <c r="O607" t="s">
        <v>117</v>
      </c>
      <c r="P607" s="11">
        <v>5900</v>
      </c>
      <c r="Q607" t="s">
        <v>150</v>
      </c>
      <c r="R607" s="11">
        <f t="shared" si="18"/>
        <v>5900</v>
      </c>
      <c r="S607" t="str">
        <f t="shared" si="19"/>
        <v>One-Time</v>
      </c>
    </row>
    <row r="608" spans="1:19" ht="15" customHeight="1" x14ac:dyDescent="0.3">
      <c r="A608">
        <v>607</v>
      </c>
      <c r="B608" t="s">
        <v>954</v>
      </c>
      <c r="C608">
        <v>6566928</v>
      </c>
      <c r="D608" t="s">
        <v>114</v>
      </c>
      <c r="E608">
        <v>24</v>
      </c>
      <c r="F608" t="s">
        <v>75</v>
      </c>
      <c r="G608" s="10">
        <v>45511</v>
      </c>
      <c r="H608" t="s">
        <v>44</v>
      </c>
      <c r="I608" t="s">
        <v>82</v>
      </c>
      <c r="J608" t="s">
        <v>49</v>
      </c>
      <c r="K608" t="s">
        <v>168</v>
      </c>
      <c r="L608" t="s">
        <v>57</v>
      </c>
      <c r="M608" t="s">
        <v>116</v>
      </c>
      <c r="N608">
        <v>2</v>
      </c>
      <c r="O608" t="s">
        <v>117</v>
      </c>
      <c r="P608" s="11">
        <v>5900</v>
      </c>
      <c r="Q608" t="s">
        <v>357</v>
      </c>
      <c r="R608" s="11">
        <f t="shared" si="18"/>
        <v>5900</v>
      </c>
      <c r="S608" t="str">
        <f t="shared" si="19"/>
        <v>One-Time</v>
      </c>
    </row>
    <row r="609" spans="1:19" ht="15" customHeight="1" x14ac:dyDescent="0.3">
      <c r="A609">
        <v>608</v>
      </c>
      <c r="B609" t="s">
        <v>955</v>
      </c>
      <c r="C609">
        <v>5987847</v>
      </c>
      <c r="D609" t="s">
        <v>114</v>
      </c>
      <c r="E609">
        <v>20</v>
      </c>
      <c r="F609" t="s">
        <v>75</v>
      </c>
      <c r="G609" s="10">
        <v>45512</v>
      </c>
      <c r="H609" t="s">
        <v>44</v>
      </c>
      <c r="I609" t="s">
        <v>82</v>
      </c>
      <c r="J609" t="s">
        <v>49</v>
      </c>
      <c r="K609" t="s">
        <v>168</v>
      </c>
      <c r="L609" t="s">
        <v>57</v>
      </c>
      <c r="M609" t="s">
        <v>116</v>
      </c>
      <c r="N609">
        <v>32</v>
      </c>
      <c r="O609" t="s">
        <v>117</v>
      </c>
      <c r="P609" s="11">
        <v>5900</v>
      </c>
      <c r="Q609" t="s">
        <v>307</v>
      </c>
      <c r="R609" s="11">
        <f t="shared" si="18"/>
        <v>5900</v>
      </c>
      <c r="S609" t="str">
        <f t="shared" si="19"/>
        <v>One-Time</v>
      </c>
    </row>
    <row r="610" spans="1:19" ht="15" customHeight="1" x14ac:dyDescent="0.3">
      <c r="A610">
        <v>609</v>
      </c>
      <c r="B610" t="s">
        <v>956</v>
      </c>
      <c r="C610">
        <v>5787687</v>
      </c>
      <c r="D610" t="s">
        <v>114</v>
      </c>
      <c r="E610">
        <v>43</v>
      </c>
      <c r="F610" t="s">
        <v>76</v>
      </c>
      <c r="G610" s="10">
        <v>45513</v>
      </c>
      <c r="H610" t="s">
        <v>44</v>
      </c>
      <c r="I610" t="s">
        <v>82</v>
      </c>
      <c r="J610" t="s">
        <v>49</v>
      </c>
      <c r="K610" t="s">
        <v>168</v>
      </c>
      <c r="L610" t="s">
        <v>57</v>
      </c>
      <c r="M610" t="s">
        <v>122</v>
      </c>
      <c r="N610">
        <v>3</v>
      </c>
      <c r="O610" t="s">
        <v>117</v>
      </c>
      <c r="P610" s="11">
        <v>5900</v>
      </c>
      <c r="Q610" t="s">
        <v>62</v>
      </c>
      <c r="R610" s="11">
        <f t="shared" si="18"/>
        <v>5900</v>
      </c>
      <c r="S610" t="str">
        <f t="shared" si="19"/>
        <v>One-Time</v>
      </c>
    </row>
    <row r="611" spans="1:19" ht="15" customHeight="1" x14ac:dyDescent="0.3">
      <c r="A611">
        <v>610</v>
      </c>
      <c r="B611" t="s">
        <v>957</v>
      </c>
      <c r="C611">
        <v>9893613</v>
      </c>
      <c r="D611" t="s">
        <v>114</v>
      </c>
      <c r="E611">
        <v>22</v>
      </c>
      <c r="F611" t="s">
        <v>75</v>
      </c>
      <c r="G611" s="10">
        <v>45514</v>
      </c>
      <c r="H611" t="s">
        <v>44</v>
      </c>
      <c r="I611" t="s">
        <v>85</v>
      </c>
      <c r="J611" t="s">
        <v>49</v>
      </c>
      <c r="K611" t="s">
        <v>168</v>
      </c>
      <c r="L611" t="s">
        <v>57</v>
      </c>
      <c r="M611" t="s">
        <v>122</v>
      </c>
      <c r="N611">
        <v>48</v>
      </c>
      <c r="O611" t="s">
        <v>117</v>
      </c>
      <c r="P611" s="11">
        <v>5900</v>
      </c>
      <c r="Q611" t="s">
        <v>958</v>
      </c>
      <c r="R611" s="11">
        <f t="shared" si="18"/>
        <v>0</v>
      </c>
      <c r="S611" t="str">
        <f t="shared" si="19"/>
        <v>One-Time</v>
      </c>
    </row>
    <row r="612" spans="1:19" ht="15" customHeight="1" x14ac:dyDescent="0.3">
      <c r="A612">
        <v>611</v>
      </c>
      <c r="B612" t="s">
        <v>959</v>
      </c>
      <c r="C612">
        <v>7723881</v>
      </c>
      <c r="D612" t="s">
        <v>114</v>
      </c>
      <c r="E612">
        <v>57</v>
      </c>
      <c r="F612" t="s">
        <v>77</v>
      </c>
      <c r="G612" s="10">
        <v>45515</v>
      </c>
      <c r="H612" t="s">
        <v>44</v>
      </c>
      <c r="I612" t="s">
        <v>82</v>
      </c>
      <c r="J612" t="s">
        <v>49</v>
      </c>
      <c r="K612" t="s">
        <v>173</v>
      </c>
      <c r="L612" t="s">
        <v>57</v>
      </c>
      <c r="M612" t="s">
        <v>122</v>
      </c>
      <c r="N612">
        <v>5</v>
      </c>
      <c r="O612" t="s">
        <v>117</v>
      </c>
      <c r="P612" s="11">
        <v>5900</v>
      </c>
      <c r="Q612" t="s">
        <v>63</v>
      </c>
      <c r="R612" s="11">
        <f t="shared" si="18"/>
        <v>5900</v>
      </c>
      <c r="S612" t="str">
        <f t="shared" si="19"/>
        <v>One-Time</v>
      </c>
    </row>
    <row r="613" spans="1:19" ht="15" customHeight="1" x14ac:dyDescent="0.3">
      <c r="A613">
        <v>612</v>
      </c>
      <c r="B613" t="s">
        <v>960</v>
      </c>
      <c r="C613">
        <v>9821652</v>
      </c>
      <c r="D613" t="s">
        <v>114</v>
      </c>
      <c r="E613">
        <v>42</v>
      </c>
      <c r="F613" t="s">
        <v>76</v>
      </c>
      <c r="G613" s="10">
        <v>45516</v>
      </c>
      <c r="H613" t="s">
        <v>44</v>
      </c>
      <c r="I613" t="s">
        <v>82</v>
      </c>
      <c r="J613" t="s">
        <v>49</v>
      </c>
      <c r="K613" t="s">
        <v>125</v>
      </c>
      <c r="L613" t="s">
        <v>57</v>
      </c>
      <c r="M613" t="s">
        <v>122</v>
      </c>
      <c r="N613">
        <v>2</v>
      </c>
      <c r="O613" t="s">
        <v>117</v>
      </c>
      <c r="P613" s="11">
        <v>5900</v>
      </c>
      <c r="Q613" t="s">
        <v>147</v>
      </c>
      <c r="R613" s="11">
        <f t="shared" si="18"/>
        <v>5900</v>
      </c>
      <c r="S613" t="str">
        <f t="shared" si="19"/>
        <v>One-Time</v>
      </c>
    </row>
    <row r="614" spans="1:19" ht="15" customHeight="1" x14ac:dyDescent="0.3">
      <c r="A614">
        <v>613</v>
      </c>
      <c r="B614" t="s">
        <v>961</v>
      </c>
      <c r="C614">
        <v>4875861</v>
      </c>
      <c r="D614" t="s">
        <v>114</v>
      </c>
      <c r="E614">
        <v>62</v>
      </c>
      <c r="F614" t="s">
        <v>77</v>
      </c>
      <c r="G614" s="10">
        <v>45517</v>
      </c>
      <c r="H614" t="s">
        <v>44</v>
      </c>
      <c r="I614" t="s">
        <v>82</v>
      </c>
      <c r="J614" t="s">
        <v>49</v>
      </c>
      <c r="K614" t="s">
        <v>125</v>
      </c>
      <c r="L614" t="s">
        <v>57</v>
      </c>
      <c r="M614" t="s">
        <v>122</v>
      </c>
      <c r="N614">
        <v>9</v>
      </c>
      <c r="O614" t="s">
        <v>117</v>
      </c>
      <c r="P614" s="11">
        <v>5900</v>
      </c>
      <c r="Q614" t="s">
        <v>705</v>
      </c>
      <c r="R614" s="11">
        <f t="shared" si="18"/>
        <v>5900</v>
      </c>
      <c r="S614" t="str">
        <f t="shared" si="19"/>
        <v>One-Time</v>
      </c>
    </row>
    <row r="615" spans="1:19" ht="15" customHeight="1" x14ac:dyDescent="0.3">
      <c r="A615">
        <v>614</v>
      </c>
      <c r="B615" t="s">
        <v>962</v>
      </c>
      <c r="C615">
        <v>6059740</v>
      </c>
      <c r="D615" t="s">
        <v>114</v>
      </c>
      <c r="E615">
        <v>26</v>
      </c>
      <c r="F615" t="s">
        <v>75</v>
      </c>
      <c r="G615" s="10">
        <v>45518</v>
      </c>
      <c r="H615" t="s">
        <v>44</v>
      </c>
      <c r="I615" t="s">
        <v>82</v>
      </c>
      <c r="J615" t="s">
        <v>49</v>
      </c>
      <c r="K615" t="s">
        <v>125</v>
      </c>
      <c r="L615" t="s">
        <v>57</v>
      </c>
      <c r="M615" t="s">
        <v>122</v>
      </c>
      <c r="N615">
        <v>7</v>
      </c>
      <c r="O615" t="s">
        <v>117</v>
      </c>
      <c r="P615" s="11">
        <v>5900</v>
      </c>
      <c r="Q615" t="s">
        <v>63</v>
      </c>
      <c r="R615" s="11">
        <f t="shared" si="18"/>
        <v>5900</v>
      </c>
      <c r="S615" t="str">
        <f t="shared" si="19"/>
        <v>One-Time</v>
      </c>
    </row>
    <row r="616" spans="1:19" ht="15" customHeight="1" x14ac:dyDescent="0.3">
      <c r="A616">
        <v>615</v>
      </c>
      <c r="B616" t="s">
        <v>963</v>
      </c>
      <c r="C616">
        <v>6970756</v>
      </c>
      <c r="D616" t="s">
        <v>114</v>
      </c>
      <c r="E616">
        <v>76</v>
      </c>
      <c r="F616" t="s">
        <v>77</v>
      </c>
      <c r="G616" s="10">
        <v>45507</v>
      </c>
      <c r="H616" t="s">
        <v>44</v>
      </c>
      <c r="I616" t="s">
        <v>82</v>
      </c>
      <c r="J616" t="s">
        <v>49</v>
      </c>
      <c r="K616" t="s">
        <v>125</v>
      </c>
      <c r="L616" t="s">
        <v>57</v>
      </c>
      <c r="M616" t="s">
        <v>122</v>
      </c>
      <c r="N616">
        <v>2</v>
      </c>
      <c r="O616" t="s">
        <v>117</v>
      </c>
      <c r="P616" s="11">
        <v>5900</v>
      </c>
      <c r="Q616" t="s">
        <v>964</v>
      </c>
      <c r="R616" s="11">
        <f t="shared" si="18"/>
        <v>5900</v>
      </c>
      <c r="S616" t="str">
        <f t="shared" si="19"/>
        <v>One-Time</v>
      </c>
    </row>
    <row r="617" spans="1:19" ht="15" customHeight="1" x14ac:dyDescent="0.3">
      <c r="A617">
        <v>616</v>
      </c>
      <c r="B617" t="s">
        <v>965</v>
      </c>
      <c r="C617">
        <v>6287760</v>
      </c>
      <c r="D617" t="s">
        <v>114</v>
      </c>
      <c r="E617">
        <v>25</v>
      </c>
      <c r="F617" t="s">
        <v>75</v>
      </c>
      <c r="G617" s="10">
        <v>45295</v>
      </c>
      <c r="H617" t="s">
        <v>37</v>
      </c>
      <c r="I617" t="s">
        <v>82</v>
      </c>
      <c r="J617" t="s">
        <v>49</v>
      </c>
      <c r="K617" t="s">
        <v>125</v>
      </c>
      <c r="L617" t="s">
        <v>57</v>
      </c>
      <c r="M617" t="s">
        <v>122</v>
      </c>
      <c r="N617">
        <v>8</v>
      </c>
      <c r="O617" t="s">
        <v>117</v>
      </c>
      <c r="P617" s="11">
        <v>5900</v>
      </c>
      <c r="Q617" t="s">
        <v>62</v>
      </c>
      <c r="R617" s="11">
        <f t="shared" si="18"/>
        <v>5900</v>
      </c>
      <c r="S617" t="str">
        <f t="shared" si="19"/>
        <v>One-Time</v>
      </c>
    </row>
    <row r="618" spans="1:19" ht="15" customHeight="1" x14ac:dyDescent="0.3">
      <c r="A618">
        <v>617</v>
      </c>
      <c r="B618" t="s">
        <v>966</v>
      </c>
      <c r="C618">
        <v>3375305</v>
      </c>
      <c r="D618" t="s">
        <v>114</v>
      </c>
      <c r="E618">
        <v>33</v>
      </c>
      <c r="F618" t="s">
        <v>76</v>
      </c>
      <c r="G618" s="10">
        <v>45296</v>
      </c>
      <c r="H618" t="s">
        <v>37</v>
      </c>
      <c r="I618" t="s">
        <v>82</v>
      </c>
      <c r="J618" t="s">
        <v>49</v>
      </c>
      <c r="K618" t="s">
        <v>125</v>
      </c>
      <c r="L618" t="s">
        <v>57</v>
      </c>
      <c r="M618" t="s">
        <v>122</v>
      </c>
      <c r="N618">
        <v>4</v>
      </c>
      <c r="O618" t="s">
        <v>117</v>
      </c>
      <c r="P618" s="11">
        <v>5900</v>
      </c>
      <c r="Q618" t="s">
        <v>967</v>
      </c>
      <c r="R618" s="11">
        <f t="shared" si="18"/>
        <v>5900</v>
      </c>
      <c r="S618" t="str">
        <f t="shared" si="19"/>
        <v>One-Time</v>
      </c>
    </row>
    <row r="619" spans="1:19" ht="15" customHeight="1" x14ac:dyDescent="0.3">
      <c r="A619">
        <v>618</v>
      </c>
      <c r="B619" t="s">
        <v>968</v>
      </c>
      <c r="C619">
        <v>9068476</v>
      </c>
      <c r="D619" t="s">
        <v>114</v>
      </c>
      <c r="E619">
        <v>46</v>
      </c>
      <c r="F619" t="s">
        <v>76</v>
      </c>
      <c r="G619" s="10">
        <v>45297</v>
      </c>
      <c r="H619" t="s">
        <v>37</v>
      </c>
      <c r="I619" t="s">
        <v>83</v>
      </c>
      <c r="J619" t="s">
        <v>49</v>
      </c>
      <c r="K619" t="s">
        <v>125</v>
      </c>
      <c r="L619" t="s">
        <v>57</v>
      </c>
      <c r="M619" t="s">
        <v>122</v>
      </c>
      <c r="N619">
        <v>5</v>
      </c>
      <c r="O619" t="s">
        <v>117</v>
      </c>
      <c r="P619" s="11">
        <v>5900</v>
      </c>
      <c r="Q619" t="s">
        <v>63</v>
      </c>
      <c r="R619" s="11">
        <f t="shared" si="18"/>
        <v>0</v>
      </c>
      <c r="S619" t="str">
        <f t="shared" si="19"/>
        <v>Repeat</v>
      </c>
    </row>
    <row r="620" spans="1:19" ht="15" customHeight="1" x14ac:dyDescent="0.3">
      <c r="A620">
        <v>619</v>
      </c>
      <c r="B620" t="s">
        <v>968</v>
      </c>
      <c r="C620">
        <v>9068476</v>
      </c>
      <c r="D620" t="s">
        <v>114</v>
      </c>
      <c r="E620">
        <v>35</v>
      </c>
      <c r="F620" t="s">
        <v>76</v>
      </c>
      <c r="G620" s="10">
        <v>45298</v>
      </c>
      <c r="H620" t="s">
        <v>37</v>
      </c>
      <c r="I620" t="s">
        <v>82</v>
      </c>
      <c r="J620" t="s">
        <v>49</v>
      </c>
      <c r="K620" t="s">
        <v>125</v>
      </c>
      <c r="L620" t="s">
        <v>57</v>
      </c>
      <c r="M620" t="s">
        <v>122</v>
      </c>
      <c r="N620">
        <v>6</v>
      </c>
      <c r="O620" t="s">
        <v>117</v>
      </c>
      <c r="P620" s="11">
        <v>5900</v>
      </c>
      <c r="Q620" t="s">
        <v>969</v>
      </c>
      <c r="R620" s="11">
        <f t="shared" si="18"/>
        <v>5900</v>
      </c>
      <c r="S620" t="str">
        <f t="shared" si="19"/>
        <v>Repeat</v>
      </c>
    </row>
    <row r="621" spans="1:19" ht="15" customHeight="1" x14ac:dyDescent="0.3">
      <c r="A621">
        <v>620</v>
      </c>
      <c r="B621" t="s">
        <v>970</v>
      </c>
      <c r="C621">
        <v>8909433</v>
      </c>
      <c r="D621" t="s">
        <v>114</v>
      </c>
      <c r="E621">
        <v>27</v>
      </c>
      <c r="F621" t="s">
        <v>75</v>
      </c>
      <c r="G621" s="10">
        <v>45299</v>
      </c>
      <c r="H621" t="s">
        <v>37</v>
      </c>
      <c r="I621" t="s">
        <v>82</v>
      </c>
      <c r="J621" t="s">
        <v>49</v>
      </c>
      <c r="K621" t="s">
        <v>125</v>
      </c>
      <c r="L621" t="s">
        <v>57</v>
      </c>
      <c r="M621" t="s">
        <v>122</v>
      </c>
      <c r="N621">
        <v>31</v>
      </c>
      <c r="O621" t="s">
        <v>117</v>
      </c>
      <c r="P621" s="11">
        <v>5900</v>
      </c>
      <c r="Q621" t="s">
        <v>971</v>
      </c>
      <c r="R621" s="11">
        <f t="shared" si="18"/>
        <v>5900</v>
      </c>
      <c r="S621" t="str">
        <f t="shared" si="19"/>
        <v>One-Time</v>
      </c>
    </row>
    <row r="622" spans="1:19" ht="15" customHeight="1" x14ac:dyDescent="0.3">
      <c r="A622">
        <v>621</v>
      </c>
      <c r="B622" t="s">
        <v>972</v>
      </c>
      <c r="C622">
        <v>3129936</v>
      </c>
      <c r="D622" t="s">
        <v>114</v>
      </c>
      <c r="E622">
        <v>36</v>
      </c>
      <c r="F622" t="s">
        <v>76</v>
      </c>
      <c r="G622" s="10">
        <v>45300</v>
      </c>
      <c r="H622" t="s">
        <v>37</v>
      </c>
      <c r="I622" t="s">
        <v>82</v>
      </c>
      <c r="J622" t="s">
        <v>49</v>
      </c>
      <c r="K622" t="s">
        <v>125</v>
      </c>
      <c r="L622" t="s">
        <v>57</v>
      </c>
      <c r="M622" t="s">
        <v>122</v>
      </c>
      <c r="N622">
        <v>2</v>
      </c>
      <c r="O622" t="s">
        <v>117</v>
      </c>
      <c r="P622" s="11">
        <v>5900</v>
      </c>
      <c r="Q622" t="s">
        <v>973</v>
      </c>
      <c r="R622" s="11">
        <f t="shared" si="18"/>
        <v>5900</v>
      </c>
      <c r="S622" t="str">
        <f t="shared" si="19"/>
        <v>One-Time</v>
      </c>
    </row>
    <row r="623" spans="1:19" ht="15" customHeight="1" x14ac:dyDescent="0.3">
      <c r="A623">
        <v>622</v>
      </c>
      <c r="B623" t="s">
        <v>974</v>
      </c>
      <c r="C623">
        <v>6638259</v>
      </c>
      <c r="D623" t="s">
        <v>114</v>
      </c>
      <c r="E623">
        <v>49</v>
      </c>
      <c r="F623" t="s">
        <v>76</v>
      </c>
      <c r="G623" s="10">
        <v>45301</v>
      </c>
      <c r="H623" t="s">
        <v>37</v>
      </c>
      <c r="I623" t="s">
        <v>82</v>
      </c>
      <c r="J623" t="s">
        <v>49</v>
      </c>
      <c r="K623" t="s">
        <v>125</v>
      </c>
      <c r="L623" t="s">
        <v>57</v>
      </c>
      <c r="M623" t="s">
        <v>122</v>
      </c>
      <c r="N623">
        <v>5</v>
      </c>
      <c r="O623" t="s">
        <v>117</v>
      </c>
      <c r="P623" s="11">
        <v>5900</v>
      </c>
      <c r="Q623" t="s">
        <v>975</v>
      </c>
      <c r="R623" s="11">
        <f t="shared" si="18"/>
        <v>5900</v>
      </c>
      <c r="S623" t="str">
        <f t="shared" si="19"/>
        <v>One-Time</v>
      </c>
    </row>
    <row r="624" spans="1:19" ht="15" customHeight="1" x14ac:dyDescent="0.3">
      <c r="A624">
        <v>623</v>
      </c>
      <c r="B624" t="s">
        <v>976</v>
      </c>
      <c r="C624">
        <v>7157837</v>
      </c>
      <c r="D624" t="s">
        <v>114</v>
      </c>
      <c r="E624">
        <v>32</v>
      </c>
      <c r="F624" t="s">
        <v>76</v>
      </c>
      <c r="G624" s="10">
        <v>45302</v>
      </c>
      <c r="H624" t="s">
        <v>37</v>
      </c>
      <c r="I624" t="s">
        <v>82</v>
      </c>
      <c r="J624" t="s">
        <v>49</v>
      </c>
      <c r="K624" t="s">
        <v>125</v>
      </c>
      <c r="L624" t="s">
        <v>57</v>
      </c>
      <c r="M624" t="s">
        <v>122</v>
      </c>
      <c r="N624">
        <v>5</v>
      </c>
      <c r="O624" t="s">
        <v>117</v>
      </c>
      <c r="P624" s="11">
        <v>5900</v>
      </c>
      <c r="Q624" t="s">
        <v>977</v>
      </c>
      <c r="R624" s="11">
        <f t="shared" si="18"/>
        <v>5900</v>
      </c>
      <c r="S624" t="str">
        <f t="shared" si="19"/>
        <v>One-Time</v>
      </c>
    </row>
    <row r="625" spans="1:19" ht="15" customHeight="1" x14ac:dyDescent="0.3">
      <c r="A625">
        <v>624</v>
      </c>
      <c r="B625" t="s">
        <v>978</v>
      </c>
      <c r="C625">
        <v>2631519</v>
      </c>
      <c r="D625" t="s">
        <v>114</v>
      </c>
      <c r="E625">
        <v>22</v>
      </c>
      <c r="F625" t="s">
        <v>75</v>
      </c>
      <c r="G625" s="10">
        <v>45303</v>
      </c>
      <c r="H625" t="s">
        <v>37</v>
      </c>
      <c r="I625" t="s">
        <v>82</v>
      </c>
      <c r="J625" t="s">
        <v>49</v>
      </c>
      <c r="K625" t="s">
        <v>125</v>
      </c>
      <c r="L625" t="s">
        <v>57</v>
      </c>
      <c r="M625" t="s">
        <v>122</v>
      </c>
      <c r="N625">
        <v>8</v>
      </c>
      <c r="O625" t="s">
        <v>117</v>
      </c>
      <c r="P625" s="11">
        <v>5900</v>
      </c>
      <c r="Q625" t="s">
        <v>979</v>
      </c>
      <c r="R625" s="11">
        <f t="shared" si="18"/>
        <v>5900</v>
      </c>
      <c r="S625" t="str">
        <f t="shared" si="19"/>
        <v>Repeat</v>
      </c>
    </row>
    <row r="626" spans="1:19" ht="15" customHeight="1" x14ac:dyDescent="0.3">
      <c r="A626">
        <v>625</v>
      </c>
      <c r="B626" t="s">
        <v>978</v>
      </c>
      <c r="C626">
        <v>2631519</v>
      </c>
      <c r="D626" t="s">
        <v>114</v>
      </c>
      <c r="E626">
        <v>48</v>
      </c>
      <c r="F626" t="s">
        <v>76</v>
      </c>
      <c r="G626" s="10">
        <v>45304</v>
      </c>
      <c r="H626" t="s">
        <v>37</v>
      </c>
      <c r="I626" t="s">
        <v>82</v>
      </c>
      <c r="J626" t="s">
        <v>49</v>
      </c>
      <c r="K626" t="s">
        <v>125</v>
      </c>
      <c r="L626" t="s">
        <v>57</v>
      </c>
      <c r="M626" t="s">
        <v>122</v>
      </c>
      <c r="N626">
        <v>9</v>
      </c>
      <c r="O626" t="s">
        <v>117</v>
      </c>
      <c r="P626" s="11">
        <v>5900</v>
      </c>
      <c r="Q626" t="s">
        <v>405</v>
      </c>
      <c r="R626" s="11">
        <f t="shared" si="18"/>
        <v>5900</v>
      </c>
      <c r="S626" t="str">
        <f t="shared" si="19"/>
        <v>Repeat</v>
      </c>
    </row>
    <row r="627" spans="1:19" ht="15" customHeight="1" x14ac:dyDescent="0.3">
      <c r="A627">
        <v>626</v>
      </c>
      <c r="B627" t="s">
        <v>980</v>
      </c>
      <c r="C627">
        <v>271961</v>
      </c>
      <c r="D627" t="s">
        <v>114</v>
      </c>
      <c r="E627">
        <v>39</v>
      </c>
      <c r="F627" t="s">
        <v>76</v>
      </c>
      <c r="G627" s="10">
        <v>45305</v>
      </c>
      <c r="H627" t="s">
        <v>37</v>
      </c>
      <c r="I627" t="s">
        <v>82</v>
      </c>
      <c r="J627" t="s">
        <v>49</v>
      </c>
      <c r="K627" t="s">
        <v>144</v>
      </c>
      <c r="L627" t="s">
        <v>57</v>
      </c>
      <c r="M627" t="s">
        <v>122</v>
      </c>
      <c r="N627">
        <v>4</v>
      </c>
      <c r="O627" t="s">
        <v>117</v>
      </c>
      <c r="P627" s="11">
        <v>5900</v>
      </c>
      <c r="Q627" t="s">
        <v>63</v>
      </c>
      <c r="R627" s="11">
        <f t="shared" si="18"/>
        <v>5900</v>
      </c>
      <c r="S627" t="str">
        <f t="shared" si="19"/>
        <v>Repeat</v>
      </c>
    </row>
    <row r="628" spans="1:19" ht="15" customHeight="1" x14ac:dyDescent="0.3">
      <c r="A628">
        <v>627</v>
      </c>
      <c r="B628" t="s">
        <v>980</v>
      </c>
      <c r="C628">
        <v>271961</v>
      </c>
      <c r="D628" t="s">
        <v>114</v>
      </c>
      <c r="E628">
        <v>42</v>
      </c>
      <c r="F628" t="s">
        <v>76</v>
      </c>
      <c r="G628" s="10">
        <v>45306</v>
      </c>
      <c r="H628" t="s">
        <v>37</v>
      </c>
      <c r="I628" t="s">
        <v>82</v>
      </c>
      <c r="J628" t="s">
        <v>49</v>
      </c>
      <c r="K628" t="s">
        <v>144</v>
      </c>
      <c r="L628" t="s">
        <v>57</v>
      </c>
      <c r="M628" t="s">
        <v>122</v>
      </c>
      <c r="N628">
        <v>7</v>
      </c>
      <c r="O628" t="s">
        <v>117</v>
      </c>
      <c r="P628" s="11">
        <v>5900</v>
      </c>
      <c r="Q628" t="s">
        <v>63</v>
      </c>
      <c r="R628" s="11">
        <f t="shared" si="18"/>
        <v>5900</v>
      </c>
      <c r="S628" t="str">
        <f t="shared" si="19"/>
        <v>Repeat</v>
      </c>
    </row>
    <row r="629" spans="1:19" ht="15" customHeight="1" x14ac:dyDescent="0.3">
      <c r="A629">
        <v>628</v>
      </c>
      <c r="B629" t="s">
        <v>981</v>
      </c>
      <c r="C629">
        <v>2733877</v>
      </c>
      <c r="D629" t="s">
        <v>114</v>
      </c>
      <c r="E629">
        <v>23</v>
      </c>
      <c r="F629" t="s">
        <v>75</v>
      </c>
      <c r="G629" s="10">
        <v>45307</v>
      </c>
      <c r="H629" t="s">
        <v>37</v>
      </c>
      <c r="I629" t="s">
        <v>83</v>
      </c>
      <c r="J629" t="s">
        <v>49</v>
      </c>
      <c r="K629" t="s">
        <v>144</v>
      </c>
      <c r="L629" t="s">
        <v>57</v>
      </c>
      <c r="M629" t="s">
        <v>122</v>
      </c>
      <c r="N629">
        <v>8</v>
      </c>
      <c r="O629" t="s">
        <v>117</v>
      </c>
      <c r="P629" s="11">
        <v>5900</v>
      </c>
      <c r="Q629" t="s">
        <v>71</v>
      </c>
      <c r="R629" s="11">
        <f t="shared" si="18"/>
        <v>0</v>
      </c>
      <c r="S629" t="str">
        <f t="shared" si="19"/>
        <v>One-Time</v>
      </c>
    </row>
    <row r="630" spans="1:19" ht="15" customHeight="1" x14ac:dyDescent="0.3">
      <c r="A630">
        <v>629</v>
      </c>
      <c r="B630" t="s">
        <v>982</v>
      </c>
      <c r="C630">
        <v>732793</v>
      </c>
      <c r="D630" t="s">
        <v>114</v>
      </c>
      <c r="E630">
        <v>28</v>
      </c>
      <c r="F630" t="s">
        <v>75</v>
      </c>
      <c r="G630" s="10">
        <v>45308</v>
      </c>
      <c r="H630" t="s">
        <v>37</v>
      </c>
      <c r="I630" t="s">
        <v>82</v>
      </c>
      <c r="J630" t="s">
        <v>49</v>
      </c>
      <c r="K630" t="s">
        <v>144</v>
      </c>
      <c r="L630" t="s">
        <v>57</v>
      </c>
      <c r="M630" t="s">
        <v>122</v>
      </c>
      <c r="N630">
        <v>32</v>
      </c>
      <c r="O630" t="s">
        <v>117</v>
      </c>
      <c r="P630" s="11">
        <v>5900</v>
      </c>
      <c r="Q630" t="s">
        <v>952</v>
      </c>
      <c r="R630" s="11">
        <f t="shared" si="18"/>
        <v>5900</v>
      </c>
      <c r="S630" t="str">
        <f t="shared" si="19"/>
        <v>One-Time</v>
      </c>
    </row>
    <row r="631" spans="1:19" ht="15" customHeight="1" x14ac:dyDescent="0.3">
      <c r="A631">
        <v>630</v>
      </c>
      <c r="B631" t="s">
        <v>983</v>
      </c>
      <c r="C631">
        <v>4577946</v>
      </c>
      <c r="D631" t="s">
        <v>114</v>
      </c>
      <c r="E631">
        <v>47</v>
      </c>
      <c r="F631" t="s">
        <v>76</v>
      </c>
      <c r="G631" s="10">
        <v>45309</v>
      </c>
      <c r="H631" t="s">
        <v>37</v>
      </c>
      <c r="I631" t="s">
        <v>82</v>
      </c>
      <c r="J631" t="s">
        <v>49</v>
      </c>
      <c r="K631" t="s">
        <v>144</v>
      </c>
      <c r="L631" t="s">
        <v>57</v>
      </c>
      <c r="M631" t="s">
        <v>122</v>
      </c>
      <c r="N631">
        <v>3</v>
      </c>
      <c r="O631" t="s">
        <v>117</v>
      </c>
      <c r="P631" s="11">
        <v>5900</v>
      </c>
      <c r="Q631" t="s">
        <v>65</v>
      </c>
      <c r="R631" s="11">
        <f t="shared" si="18"/>
        <v>5900</v>
      </c>
      <c r="S631" t="str">
        <f t="shared" si="19"/>
        <v>One-Time</v>
      </c>
    </row>
    <row r="632" spans="1:19" ht="15" customHeight="1" x14ac:dyDescent="0.3">
      <c r="A632">
        <v>631</v>
      </c>
      <c r="B632" t="s">
        <v>984</v>
      </c>
      <c r="C632">
        <v>9482794</v>
      </c>
      <c r="D632" t="s">
        <v>114</v>
      </c>
      <c r="E632">
        <v>34</v>
      </c>
      <c r="F632" t="s">
        <v>76</v>
      </c>
      <c r="G632" s="10">
        <v>45310</v>
      </c>
      <c r="H632" t="s">
        <v>37</v>
      </c>
      <c r="I632" t="s">
        <v>82</v>
      </c>
      <c r="J632" t="s">
        <v>49</v>
      </c>
      <c r="K632" t="s">
        <v>144</v>
      </c>
      <c r="L632" t="s">
        <v>57</v>
      </c>
      <c r="M632" t="s">
        <v>122</v>
      </c>
      <c r="N632">
        <v>48</v>
      </c>
      <c r="O632" t="s">
        <v>117</v>
      </c>
      <c r="P632" s="11">
        <v>5900</v>
      </c>
      <c r="Q632" t="s">
        <v>828</v>
      </c>
      <c r="R632" s="11">
        <f t="shared" si="18"/>
        <v>5900</v>
      </c>
      <c r="S632" t="str">
        <f t="shared" si="19"/>
        <v>One-Time</v>
      </c>
    </row>
    <row r="633" spans="1:19" ht="15" customHeight="1" x14ac:dyDescent="0.3">
      <c r="A633">
        <v>632</v>
      </c>
      <c r="B633" t="s">
        <v>985</v>
      </c>
      <c r="C633">
        <v>5010143</v>
      </c>
      <c r="D633" t="s">
        <v>114</v>
      </c>
      <c r="E633">
        <v>64</v>
      </c>
      <c r="F633" t="s">
        <v>77</v>
      </c>
      <c r="G633" s="10">
        <v>45326</v>
      </c>
      <c r="H633" t="s">
        <v>38</v>
      </c>
      <c r="I633" t="s">
        <v>82</v>
      </c>
      <c r="J633" t="s">
        <v>49</v>
      </c>
      <c r="K633" t="s">
        <v>144</v>
      </c>
      <c r="L633" t="s">
        <v>57</v>
      </c>
      <c r="M633" t="s">
        <v>122</v>
      </c>
      <c r="N633">
        <v>5</v>
      </c>
      <c r="O633" t="s">
        <v>117</v>
      </c>
      <c r="P633" s="11">
        <v>5900</v>
      </c>
      <c r="Q633" t="s">
        <v>265</v>
      </c>
      <c r="R633" s="11">
        <f t="shared" si="18"/>
        <v>5900</v>
      </c>
      <c r="S633" t="str">
        <f t="shared" si="19"/>
        <v>One-Time</v>
      </c>
    </row>
    <row r="634" spans="1:19" ht="15" customHeight="1" x14ac:dyDescent="0.3">
      <c r="A634">
        <v>633</v>
      </c>
      <c r="B634" t="s">
        <v>986</v>
      </c>
      <c r="C634">
        <v>6353578</v>
      </c>
      <c r="D634" t="s">
        <v>114</v>
      </c>
      <c r="E634">
        <v>25</v>
      </c>
      <c r="F634" t="s">
        <v>75</v>
      </c>
      <c r="G634" s="10">
        <v>45326</v>
      </c>
      <c r="H634" t="s">
        <v>38</v>
      </c>
      <c r="I634" t="s">
        <v>82</v>
      </c>
      <c r="J634" t="s">
        <v>49</v>
      </c>
      <c r="K634" t="s">
        <v>132</v>
      </c>
      <c r="L634" t="s">
        <v>57</v>
      </c>
      <c r="M634" t="s">
        <v>122</v>
      </c>
      <c r="N634">
        <v>2</v>
      </c>
      <c r="O634" t="s">
        <v>117</v>
      </c>
      <c r="P634" s="11">
        <v>5900</v>
      </c>
      <c r="Q634" t="s">
        <v>64</v>
      </c>
      <c r="R634" s="11">
        <f t="shared" si="18"/>
        <v>5900</v>
      </c>
      <c r="S634" t="str">
        <f t="shared" si="19"/>
        <v>One-Time</v>
      </c>
    </row>
    <row r="635" spans="1:19" ht="15" customHeight="1" x14ac:dyDescent="0.3">
      <c r="A635">
        <v>634</v>
      </c>
      <c r="B635" t="s">
        <v>987</v>
      </c>
      <c r="C635">
        <v>7193353</v>
      </c>
      <c r="D635" t="s">
        <v>114</v>
      </c>
      <c r="E635">
        <v>38</v>
      </c>
      <c r="F635" t="s">
        <v>76</v>
      </c>
      <c r="G635" s="10">
        <v>45326</v>
      </c>
      <c r="H635" t="s">
        <v>38</v>
      </c>
      <c r="I635" t="s">
        <v>82</v>
      </c>
      <c r="J635" t="s">
        <v>49</v>
      </c>
      <c r="K635" t="s">
        <v>132</v>
      </c>
      <c r="L635" t="s">
        <v>57</v>
      </c>
      <c r="M635" t="s">
        <v>122</v>
      </c>
      <c r="N635">
        <v>9</v>
      </c>
      <c r="O635" t="s">
        <v>117</v>
      </c>
      <c r="P635" s="11">
        <v>5900</v>
      </c>
      <c r="Q635" t="s">
        <v>468</v>
      </c>
      <c r="R635" s="11">
        <f t="shared" si="18"/>
        <v>5900</v>
      </c>
      <c r="S635" t="str">
        <f t="shared" si="19"/>
        <v>One-Time</v>
      </c>
    </row>
    <row r="636" spans="1:19" ht="15" customHeight="1" x14ac:dyDescent="0.3">
      <c r="A636">
        <v>635</v>
      </c>
      <c r="B636" t="s">
        <v>988</v>
      </c>
      <c r="C636">
        <v>1369375</v>
      </c>
      <c r="D636" t="s">
        <v>114</v>
      </c>
      <c r="E636">
        <v>33</v>
      </c>
      <c r="F636" t="s">
        <v>76</v>
      </c>
      <c r="G636" s="10">
        <v>45326</v>
      </c>
      <c r="H636" t="s">
        <v>38</v>
      </c>
      <c r="I636" t="s">
        <v>82</v>
      </c>
      <c r="J636" t="s">
        <v>49</v>
      </c>
      <c r="K636" t="s">
        <v>132</v>
      </c>
      <c r="L636" t="s">
        <v>58</v>
      </c>
      <c r="M636" t="s">
        <v>122</v>
      </c>
      <c r="N636">
        <v>7</v>
      </c>
      <c r="O636" t="s">
        <v>117</v>
      </c>
      <c r="P636" s="11">
        <v>5900</v>
      </c>
      <c r="Q636" t="s">
        <v>989</v>
      </c>
      <c r="R636" s="11">
        <f t="shared" si="18"/>
        <v>5900</v>
      </c>
      <c r="S636" t="str">
        <f t="shared" si="19"/>
        <v>One-Time</v>
      </c>
    </row>
    <row r="637" spans="1:19" ht="15" customHeight="1" x14ac:dyDescent="0.3">
      <c r="A637">
        <v>636</v>
      </c>
      <c r="B637" t="s">
        <v>990</v>
      </c>
      <c r="C637">
        <v>5751421</v>
      </c>
      <c r="D637" t="s">
        <v>114</v>
      </c>
      <c r="E637">
        <v>18</v>
      </c>
      <c r="F637" t="s">
        <v>75</v>
      </c>
      <c r="G637" s="10">
        <v>45326</v>
      </c>
      <c r="H637" t="s">
        <v>38</v>
      </c>
      <c r="I637" t="s">
        <v>82</v>
      </c>
      <c r="J637" t="s">
        <v>49</v>
      </c>
      <c r="K637" t="s">
        <v>132</v>
      </c>
      <c r="L637" t="s">
        <v>58</v>
      </c>
      <c r="M637" t="s">
        <v>122</v>
      </c>
      <c r="N637">
        <v>2</v>
      </c>
      <c r="O637" t="s">
        <v>117</v>
      </c>
      <c r="P637" s="11">
        <v>5900</v>
      </c>
      <c r="Q637" t="s">
        <v>991</v>
      </c>
      <c r="R637" s="11">
        <f t="shared" si="18"/>
        <v>5900</v>
      </c>
      <c r="S637" t="str">
        <f t="shared" si="19"/>
        <v>One-Time</v>
      </c>
    </row>
    <row r="638" spans="1:19" ht="15" customHeight="1" x14ac:dyDescent="0.3">
      <c r="A638">
        <v>637</v>
      </c>
      <c r="B638" t="s">
        <v>992</v>
      </c>
      <c r="C638">
        <v>2525671</v>
      </c>
      <c r="D638" t="s">
        <v>114</v>
      </c>
      <c r="E638">
        <v>48</v>
      </c>
      <c r="F638" t="s">
        <v>76</v>
      </c>
      <c r="G638" s="10">
        <v>45326</v>
      </c>
      <c r="H638" t="s">
        <v>38</v>
      </c>
      <c r="I638" t="s">
        <v>82</v>
      </c>
      <c r="J638" t="s">
        <v>49</v>
      </c>
      <c r="K638" t="s">
        <v>132</v>
      </c>
      <c r="L638" t="s">
        <v>58</v>
      </c>
      <c r="M638" t="s">
        <v>122</v>
      </c>
      <c r="N638">
        <v>8</v>
      </c>
      <c r="O638" t="s">
        <v>117</v>
      </c>
      <c r="P638" s="11">
        <v>5900</v>
      </c>
      <c r="Q638" t="s">
        <v>71</v>
      </c>
      <c r="R638" s="11">
        <f t="shared" si="18"/>
        <v>5900</v>
      </c>
      <c r="S638" t="str">
        <f t="shared" si="19"/>
        <v>One-Time</v>
      </c>
    </row>
    <row r="639" spans="1:19" ht="15" customHeight="1" x14ac:dyDescent="0.3">
      <c r="A639">
        <v>638</v>
      </c>
      <c r="B639" t="s">
        <v>993</v>
      </c>
      <c r="C639">
        <v>1148969</v>
      </c>
      <c r="D639" t="s">
        <v>114</v>
      </c>
      <c r="E639">
        <v>18</v>
      </c>
      <c r="F639" t="s">
        <v>75</v>
      </c>
      <c r="G639" s="10">
        <v>45326</v>
      </c>
      <c r="H639" t="s">
        <v>38</v>
      </c>
      <c r="I639" t="s">
        <v>82</v>
      </c>
      <c r="J639" t="s">
        <v>49</v>
      </c>
      <c r="K639" t="s">
        <v>132</v>
      </c>
      <c r="L639" t="s">
        <v>58</v>
      </c>
      <c r="M639" t="s">
        <v>122</v>
      </c>
      <c r="N639">
        <v>4</v>
      </c>
      <c r="O639" t="s">
        <v>117</v>
      </c>
      <c r="P639" s="11">
        <v>5900</v>
      </c>
      <c r="Q639" t="s">
        <v>69</v>
      </c>
      <c r="R639" s="11">
        <f t="shared" si="18"/>
        <v>5900</v>
      </c>
      <c r="S639" t="str">
        <f t="shared" si="19"/>
        <v>One-Time</v>
      </c>
    </row>
    <row r="640" spans="1:19" ht="15" customHeight="1" x14ac:dyDescent="0.3">
      <c r="A640">
        <v>639</v>
      </c>
      <c r="B640" t="s">
        <v>994</v>
      </c>
      <c r="C640">
        <v>1480412</v>
      </c>
      <c r="D640" t="s">
        <v>114</v>
      </c>
      <c r="E640">
        <v>31</v>
      </c>
      <c r="F640" t="s">
        <v>76</v>
      </c>
      <c r="G640" s="10">
        <v>45326</v>
      </c>
      <c r="H640" t="s">
        <v>38</v>
      </c>
      <c r="I640" t="s">
        <v>85</v>
      </c>
      <c r="J640" t="s">
        <v>49</v>
      </c>
      <c r="K640" t="s">
        <v>132</v>
      </c>
      <c r="L640" t="s">
        <v>58</v>
      </c>
      <c r="M640" t="s">
        <v>122</v>
      </c>
      <c r="N640">
        <v>5</v>
      </c>
      <c r="O640" t="s">
        <v>117</v>
      </c>
      <c r="P640" s="11">
        <v>5900</v>
      </c>
      <c r="Q640" t="s">
        <v>300</v>
      </c>
      <c r="R640" s="11">
        <f t="shared" si="18"/>
        <v>0</v>
      </c>
      <c r="S640" t="str">
        <f t="shared" si="19"/>
        <v>One-Time</v>
      </c>
    </row>
    <row r="641" spans="1:19" ht="15" customHeight="1" x14ac:dyDescent="0.3">
      <c r="A641">
        <v>640</v>
      </c>
      <c r="B641" t="s">
        <v>995</v>
      </c>
      <c r="C641">
        <v>1581803</v>
      </c>
      <c r="D641" t="s">
        <v>114</v>
      </c>
      <c r="E641">
        <v>28</v>
      </c>
      <c r="F641" t="s">
        <v>75</v>
      </c>
      <c r="G641" s="10">
        <v>45326</v>
      </c>
      <c r="H641" t="s">
        <v>38</v>
      </c>
      <c r="I641" t="s">
        <v>82</v>
      </c>
      <c r="J641" t="s">
        <v>49</v>
      </c>
      <c r="K641" t="s">
        <v>132</v>
      </c>
      <c r="L641" t="s">
        <v>58</v>
      </c>
      <c r="M641" t="s">
        <v>122</v>
      </c>
      <c r="N641">
        <v>6</v>
      </c>
      <c r="O641" t="s">
        <v>117</v>
      </c>
      <c r="P641" s="11">
        <v>5900</v>
      </c>
      <c r="Q641" t="s">
        <v>313</v>
      </c>
      <c r="R641" s="11">
        <f t="shared" si="18"/>
        <v>5900</v>
      </c>
      <c r="S641" t="str">
        <f t="shared" si="19"/>
        <v>One-Time</v>
      </c>
    </row>
    <row r="642" spans="1:19" ht="15" customHeight="1" x14ac:dyDescent="0.3">
      <c r="A642">
        <v>641</v>
      </c>
      <c r="B642" t="s">
        <v>996</v>
      </c>
      <c r="C642">
        <v>1589269</v>
      </c>
      <c r="D642" t="s">
        <v>114</v>
      </c>
      <c r="E642">
        <v>42</v>
      </c>
      <c r="F642" t="s">
        <v>76</v>
      </c>
      <c r="G642" s="10">
        <v>45326</v>
      </c>
      <c r="H642" t="s">
        <v>38</v>
      </c>
      <c r="I642" t="s">
        <v>82</v>
      </c>
      <c r="J642" t="s">
        <v>49</v>
      </c>
      <c r="K642" t="s">
        <v>132</v>
      </c>
      <c r="L642" t="s">
        <v>58</v>
      </c>
      <c r="M642" t="s">
        <v>122</v>
      </c>
      <c r="N642">
        <v>31</v>
      </c>
      <c r="O642" t="s">
        <v>117</v>
      </c>
      <c r="P642" s="11">
        <v>6600</v>
      </c>
      <c r="Q642" t="s">
        <v>69</v>
      </c>
      <c r="R642" s="11">
        <f t="shared" ref="R642:R705" si="20">IF(I642="Delivered",P642,0)</f>
        <v>6600</v>
      </c>
      <c r="S642" t="str">
        <f t="shared" ref="S642:S705" si="21">IF(COUNTIF($C$2:$C$1501,C642)&gt;1,"Repeat","One-Time")</f>
        <v>One-Time</v>
      </c>
    </row>
    <row r="643" spans="1:19" ht="15" customHeight="1" x14ac:dyDescent="0.3">
      <c r="A643">
        <v>642</v>
      </c>
      <c r="B643" t="s">
        <v>997</v>
      </c>
      <c r="C643">
        <v>163677</v>
      </c>
      <c r="D643" t="s">
        <v>114</v>
      </c>
      <c r="E643">
        <v>21</v>
      </c>
      <c r="F643" t="s">
        <v>75</v>
      </c>
      <c r="G643" s="10">
        <v>45326</v>
      </c>
      <c r="H643" t="s">
        <v>38</v>
      </c>
      <c r="I643" t="s">
        <v>82</v>
      </c>
      <c r="J643" t="s">
        <v>49</v>
      </c>
      <c r="K643" t="s">
        <v>132</v>
      </c>
      <c r="L643" t="s">
        <v>58</v>
      </c>
      <c r="M643" t="s">
        <v>122</v>
      </c>
      <c r="N643">
        <v>2</v>
      </c>
      <c r="O643" t="s">
        <v>117</v>
      </c>
      <c r="P643" s="11">
        <v>6600</v>
      </c>
      <c r="Q643" t="s">
        <v>998</v>
      </c>
      <c r="R643" s="11">
        <f t="shared" si="20"/>
        <v>6600</v>
      </c>
      <c r="S643" t="str">
        <f t="shared" si="21"/>
        <v>One-Time</v>
      </c>
    </row>
    <row r="644" spans="1:19" ht="15" customHeight="1" x14ac:dyDescent="0.3">
      <c r="A644">
        <v>643</v>
      </c>
      <c r="B644" t="s">
        <v>999</v>
      </c>
      <c r="C644">
        <v>5591629</v>
      </c>
      <c r="D644" t="s">
        <v>114</v>
      </c>
      <c r="E644">
        <v>73</v>
      </c>
      <c r="F644" t="s">
        <v>77</v>
      </c>
      <c r="G644" s="10">
        <v>45326</v>
      </c>
      <c r="H644" t="s">
        <v>38</v>
      </c>
      <c r="I644" t="s">
        <v>82</v>
      </c>
      <c r="J644" t="s">
        <v>49</v>
      </c>
      <c r="K644" t="s">
        <v>132</v>
      </c>
      <c r="L644" t="s">
        <v>58</v>
      </c>
      <c r="M644" t="s">
        <v>116</v>
      </c>
      <c r="N644">
        <v>5</v>
      </c>
      <c r="O644" t="s">
        <v>117</v>
      </c>
      <c r="P644" s="11">
        <v>6600</v>
      </c>
      <c r="Q644" t="s">
        <v>62</v>
      </c>
      <c r="R644" s="11">
        <f t="shared" si="20"/>
        <v>6600</v>
      </c>
      <c r="S644" t="str">
        <f t="shared" si="21"/>
        <v>One-Time</v>
      </c>
    </row>
    <row r="645" spans="1:19" ht="15" customHeight="1" x14ac:dyDescent="0.3">
      <c r="A645">
        <v>644</v>
      </c>
      <c r="B645" t="s">
        <v>1000</v>
      </c>
      <c r="C645">
        <v>2762496</v>
      </c>
      <c r="D645" t="s">
        <v>114</v>
      </c>
      <c r="E645">
        <v>65</v>
      </c>
      <c r="F645" t="s">
        <v>77</v>
      </c>
      <c r="G645" s="10">
        <v>45326</v>
      </c>
      <c r="H645" t="s">
        <v>38</v>
      </c>
      <c r="I645" t="s">
        <v>82</v>
      </c>
      <c r="J645" t="s">
        <v>49</v>
      </c>
      <c r="K645" t="s">
        <v>132</v>
      </c>
      <c r="L645" t="s">
        <v>58</v>
      </c>
      <c r="M645" t="s">
        <v>116</v>
      </c>
      <c r="N645">
        <v>5</v>
      </c>
      <c r="O645" t="s">
        <v>117</v>
      </c>
      <c r="P645" s="11">
        <v>6600</v>
      </c>
      <c r="Q645" t="s">
        <v>601</v>
      </c>
      <c r="R645" s="11">
        <f t="shared" si="20"/>
        <v>6600</v>
      </c>
      <c r="S645" t="str">
        <f t="shared" si="21"/>
        <v>One-Time</v>
      </c>
    </row>
    <row r="646" spans="1:19" ht="15" customHeight="1" x14ac:dyDescent="0.3">
      <c r="A646">
        <v>645</v>
      </c>
      <c r="B646" t="s">
        <v>1001</v>
      </c>
      <c r="C646">
        <v>3613696</v>
      </c>
      <c r="D646" t="s">
        <v>114</v>
      </c>
      <c r="E646">
        <v>74</v>
      </c>
      <c r="F646" t="s">
        <v>77</v>
      </c>
      <c r="G646" s="10">
        <v>45326</v>
      </c>
      <c r="H646" t="s">
        <v>38</v>
      </c>
      <c r="I646" t="s">
        <v>82</v>
      </c>
      <c r="J646" t="s">
        <v>49</v>
      </c>
      <c r="K646" t="s">
        <v>132</v>
      </c>
      <c r="L646" t="s">
        <v>58</v>
      </c>
      <c r="M646" t="s">
        <v>116</v>
      </c>
      <c r="N646">
        <v>8</v>
      </c>
      <c r="O646" t="s">
        <v>117</v>
      </c>
      <c r="P646" s="11">
        <v>6600</v>
      </c>
      <c r="Q646" t="s">
        <v>1002</v>
      </c>
      <c r="R646" s="11">
        <f t="shared" si="20"/>
        <v>6600</v>
      </c>
      <c r="S646" t="str">
        <f t="shared" si="21"/>
        <v>One-Time</v>
      </c>
    </row>
    <row r="647" spans="1:19" ht="15" customHeight="1" x14ac:dyDescent="0.3">
      <c r="A647">
        <v>646</v>
      </c>
      <c r="B647" t="s">
        <v>1003</v>
      </c>
      <c r="C647">
        <v>8674741</v>
      </c>
      <c r="D647" t="s">
        <v>114</v>
      </c>
      <c r="E647">
        <v>45</v>
      </c>
      <c r="F647" t="s">
        <v>76</v>
      </c>
      <c r="G647" s="10">
        <v>45326</v>
      </c>
      <c r="H647" t="s">
        <v>38</v>
      </c>
      <c r="I647" t="s">
        <v>82</v>
      </c>
      <c r="J647" t="s">
        <v>49</v>
      </c>
      <c r="K647" t="s">
        <v>132</v>
      </c>
      <c r="L647" t="s">
        <v>58</v>
      </c>
      <c r="M647" t="s">
        <v>116</v>
      </c>
      <c r="N647">
        <v>9</v>
      </c>
      <c r="O647" t="s">
        <v>117</v>
      </c>
      <c r="P647" s="11">
        <v>6600</v>
      </c>
      <c r="Q647" t="s">
        <v>1004</v>
      </c>
      <c r="R647" s="11">
        <f t="shared" si="20"/>
        <v>6600</v>
      </c>
      <c r="S647" t="str">
        <f t="shared" si="21"/>
        <v>Repeat</v>
      </c>
    </row>
    <row r="648" spans="1:19" ht="15" customHeight="1" x14ac:dyDescent="0.3">
      <c r="A648">
        <v>647</v>
      </c>
      <c r="B648" t="s">
        <v>1003</v>
      </c>
      <c r="C648">
        <v>8674741</v>
      </c>
      <c r="D648" t="s">
        <v>114</v>
      </c>
      <c r="E648">
        <v>34</v>
      </c>
      <c r="F648" t="s">
        <v>76</v>
      </c>
      <c r="G648" s="10">
        <v>45326</v>
      </c>
      <c r="H648" t="s">
        <v>38</v>
      </c>
      <c r="I648" t="s">
        <v>82</v>
      </c>
      <c r="J648" t="s">
        <v>49</v>
      </c>
      <c r="K648" t="s">
        <v>142</v>
      </c>
      <c r="L648" t="s">
        <v>58</v>
      </c>
      <c r="M648" t="s">
        <v>116</v>
      </c>
      <c r="N648">
        <v>8</v>
      </c>
      <c r="O648" t="s">
        <v>117</v>
      </c>
      <c r="P648" s="11">
        <v>6600</v>
      </c>
      <c r="Q648" t="s">
        <v>66</v>
      </c>
      <c r="R648" s="11">
        <f t="shared" si="20"/>
        <v>6600</v>
      </c>
      <c r="S648" t="str">
        <f t="shared" si="21"/>
        <v>Repeat</v>
      </c>
    </row>
    <row r="649" spans="1:19" ht="15" customHeight="1" x14ac:dyDescent="0.3">
      <c r="A649">
        <v>648</v>
      </c>
      <c r="B649" t="s">
        <v>1005</v>
      </c>
      <c r="C649">
        <v>3961682</v>
      </c>
      <c r="D649" t="s">
        <v>114</v>
      </c>
      <c r="E649">
        <v>37</v>
      </c>
      <c r="F649" t="s">
        <v>76</v>
      </c>
      <c r="G649" s="10">
        <v>45326</v>
      </c>
      <c r="H649" t="s">
        <v>38</v>
      </c>
      <c r="I649" t="s">
        <v>82</v>
      </c>
      <c r="J649" t="s">
        <v>49</v>
      </c>
      <c r="K649" t="s">
        <v>142</v>
      </c>
      <c r="L649" t="s">
        <v>58</v>
      </c>
      <c r="M649" t="s">
        <v>116</v>
      </c>
      <c r="N649">
        <v>3</v>
      </c>
      <c r="O649" t="s">
        <v>117</v>
      </c>
      <c r="P649" s="11">
        <v>6600</v>
      </c>
      <c r="Q649" t="s">
        <v>62</v>
      </c>
      <c r="R649" s="11">
        <f t="shared" si="20"/>
        <v>6600</v>
      </c>
      <c r="S649" t="str">
        <f t="shared" si="21"/>
        <v>Repeat</v>
      </c>
    </row>
    <row r="650" spans="1:19" ht="15" customHeight="1" x14ac:dyDescent="0.3">
      <c r="A650">
        <v>649</v>
      </c>
      <c r="B650" t="s">
        <v>1005</v>
      </c>
      <c r="C650">
        <v>3961682</v>
      </c>
      <c r="D650" t="s">
        <v>114</v>
      </c>
      <c r="E650">
        <v>32</v>
      </c>
      <c r="F650" t="s">
        <v>76</v>
      </c>
      <c r="G650" s="10">
        <v>45326</v>
      </c>
      <c r="H650" t="s">
        <v>38</v>
      </c>
      <c r="I650" t="s">
        <v>82</v>
      </c>
      <c r="J650" t="s">
        <v>49</v>
      </c>
      <c r="K650" t="s">
        <v>142</v>
      </c>
      <c r="L650" t="s">
        <v>58</v>
      </c>
      <c r="M650" t="s">
        <v>116</v>
      </c>
      <c r="N650">
        <v>4</v>
      </c>
      <c r="O650" t="s">
        <v>117</v>
      </c>
      <c r="P650" s="11">
        <v>6600</v>
      </c>
      <c r="Q650" t="s">
        <v>1006</v>
      </c>
      <c r="R650" s="11">
        <f t="shared" si="20"/>
        <v>6600</v>
      </c>
      <c r="S650" t="str">
        <f t="shared" si="21"/>
        <v>Repeat</v>
      </c>
    </row>
    <row r="651" spans="1:19" ht="15" customHeight="1" x14ac:dyDescent="0.3">
      <c r="A651">
        <v>650</v>
      </c>
      <c r="B651" t="s">
        <v>1007</v>
      </c>
      <c r="C651">
        <v>9993814</v>
      </c>
      <c r="D651" t="s">
        <v>114</v>
      </c>
      <c r="E651">
        <v>42</v>
      </c>
      <c r="F651" t="s">
        <v>76</v>
      </c>
      <c r="G651" s="10">
        <v>45326</v>
      </c>
      <c r="H651" t="s">
        <v>38</v>
      </c>
      <c r="I651" t="s">
        <v>85</v>
      </c>
      <c r="J651" t="s">
        <v>49</v>
      </c>
      <c r="K651" t="s">
        <v>142</v>
      </c>
      <c r="L651" t="s">
        <v>58</v>
      </c>
      <c r="M651" t="s">
        <v>116</v>
      </c>
      <c r="N651">
        <v>4</v>
      </c>
      <c r="O651" t="s">
        <v>117</v>
      </c>
      <c r="P651" s="11">
        <v>6600</v>
      </c>
      <c r="Q651" t="s">
        <v>204</v>
      </c>
      <c r="R651" s="11">
        <f t="shared" si="20"/>
        <v>0</v>
      </c>
      <c r="S651" t="str">
        <f t="shared" si="21"/>
        <v>One-Time</v>
      </c>
    </row>
    <row r="652" spans="1:19" ht="15" customHeight="1" x14ac:dyDescent="0.3">
      <c r="A652">
        <v>651</v>
      </c>
      <c r="B652" t="s">
        <v>1008</v>
      </c>
      <c r="C652">
        <v>1484966</v>
      </c>
      <c r="D652" t="s">
        <v>114</v>
      </c>
      <c r="E652">
        <v>75</v>
      </c>
      <c r="F652" t="s">
        <v>77</v>
      </c>
      <c r="G652" s="10">
        <v>45326</v>
      </c>
      <c r="H652" t="s">
        <v>38</v>
      </c>
      <c r="I652" t="s">
        <v>82</v>
      </c>
      <c r="J652" t="s">
        <v>49</v>
      </c>
      <c r="K652" t="s">
        <v>142</v>
      </c>
      <c r="L652" t="s">
        <v>58</v>
      </c>
      <c r="M652" t="s">
        <v>116</v>
      </c>
      <c r="N652">
        <v>9</v>
      </c>
      <c r="O652" t="s">
        <v>117</v>
      </c>
      <c r="P652" s="11">
        <v>6600</v>
      </c>
      <c r="Q652" t="s">
        <v>1009</v>
      </c>
      <c r="R652" s="11">
        <f t="shared" si="20"/>
        <v>6600</v>
      </c>
      <c r="S652" t="str">
        <f t="shared" si="21"/>
        <v>One-Time</v>
      </c>
    </row>
    <row r="653" spans="1:19" ht="15" customHeight="1" x14ac:dyDescent="0.3">
      <c r="A653">
        <v>652</v>
      </c>
      <c r="B653" t="s">
        <v>1010</v>
      </c>
      <c r="C653">
        <v>2998401</v>
      </c>
      <c r="D653" t="s">
        <v>114</v>
      </c>
      <c r="E653">
        <v>25</v>
      </c>
      <c r="F653" t="s">
        <v>75</v>
      </c>
      <c r="G653" s="10">
        <v>45326</v>
      </c>
      <c r="H653" t="s">
        <v>38</v>
      </c>
      <c r="I653" t="s">
        <v>82</v>
      </c>
      <c r="J653" t="s">
        <v>49</v>
      </c>
      <c r="K653" t="s">
        <v>142</v>
      </c>
      <c r="L653" t="s">
        <v>58</v>
      </c>
      <c r="M653" t="s">
        <v>116</v>
      </c>
      <c r="N653">
        <v>8</v>
      </c>
      <c r="O653" t="s">
        <v>117</v>
      </c>
      <c r="P653" s="11">
        <v>6600</v>
      </c>
      <c r="Q653" t="s">
        <v>62</v>
      </c>
      <c r="R653" s="11">
        <f t="shared" si="20"/>
        <v>6600</v>
      </c>
      <c r="S653" t="str">
        <f t="shared" si="21"/>
        <v>One-Time</v>
      </c>
    </row>
    <row r="654" spans="1:19" ht="15" customHeight="1" x14ac:dyDescent="0.3">
      <c r="A654">
        <v>653</v>
      </c>
      <c r="B654" t="s">
        <v>1011</v>
      </c>
      <c r="C654">
        <v>443250</v>
      </c>
      <c r="D654" t="s">
        <v>114</v>
      </c>
      <c r="E654">
        <v>52</v>
      </c>
      <c r="F654" t="s">
        <v>77</v>
      </c>
      <c r="G654" s="10">
        <v>45326</v>
      </c>
      <c r="H654" t="s">
        <v>38</v>
      </c>
      <c r="I654" t="s">
        <v>82</v>
      </c>
      <c r="J654" t="s">
        <v>49</v>
      </c>
      <c r="K654" t="s">
        <v>142</v>
      </c>
      <c r="L654" t="s">
        <v>58</v>
      </c>
      <c r="M654" t="s">
        <v>116</v>
      </c>
      <c r="N654">
        <v>3</v>
      </c>
      <c r="O654" t="s">
        <v>117</v>
      </c>
      <c r="P654" s="11">
        <v>6600</v>
      </c>
      <c r="Q654" t="s">
        <v>1012</v>
      </c>
      <c r="R654" s="11">
        <f t="shared" si="20"/>
        <v>6600</v>
      </c>
      <c r="S654" t="str">
        <f t="shared" si="21"/>
        <v>One-Time</v>
      </c>
    </row>
    <row r="655" spans="1:19" ht="15" customHeight="1" x14ac:dyDescent="0.3">
      <c r="A655">
        <v>654</v>
      </c>
      <c r="B655" t="s">
        <v>1013</v>
      </c>
      <c r="C655">
        <v>1440632</v>
      </c>
      <c r="D655" t="s">
        <v>114</v>
      </c>
      <c r="E655">
        <v>23</v>
      </c>
      <c r="F655" t="s">
        <v>75</v>
      </c>
      <c r="G655" s="10">
        <v>45326</v>
      </c>
      <c r="H655" t="s">
        <v>38</v>
      </c>
      <c r="I655" t="s">
        <v>82</v>
      </c>
      <c r="J655" t="s">
        <v>49</v>
      </c>
      <c r="K655" t="s">
        <v>142</v>
      </c>
      <c r="L655" t="s">
        <v>58</v>
      </c>
      <c r="M655" t="s">
        <v>116</v>
      </c>
      <c r="N655">
        <v>6</v>
      </c>
      <c r="O655" t="s">
        <v>117</v>
      </c>
      <c r="P655" s="11">
        <v>6600</v>
      </c>
      <c r="Q655" t="s">
        <v>66</v>
      </c>
      <c r="R655" s="11">
        <f t="shared" si="20"/>
        <v>6600</v>
      </c>
      <c r="S655" t="str">
        <f t="shared" si="21"/>
        <v>One-Time</v>
      </c>
    </row>
    <row r="656" spans="1:19" ht="15" customHeight="1" x14ac:dyDescent="0.3">
      <c r="A656">
        <v>655</v>
      </c>
      <c r="B656" t="s">
        <v>1014</v>
      </c>
      <c r="C656">
        <v>2943155</v>
      </c>
      <c r="D656" t="s">
        <v>114</v>
      </c>
      <c r="E656">
        <v>25</v>
      </c>
      <c r="F656" t="s">
        <v>75</v>
      </c>
      <c r="G656" s="10">
        <v>45326</v>
      </c>
      <c r="H656" t="s">
        <v>38</v>
      </c>
      <c r="I656" t="s">
        <v>82</v>
      </c>
      <c r="J656" t="s">
        <v>49</v>
      </c>
      <c r="K656" t="s">
        <v>142</v>
      </c>
      <c r="L656" t="s">
        <v>58</v>
      </c>
      <c r="M656" t="s">
        <v>116</v>
      </c>
      <c r="N656">
        <v>9</v>
      </c>
      <c r="O656" t="s">
        <v>117</v>
      </c>
      <c r="P656" s="11">
        <v>6600</v>
      </c>
      <c r="Q656" t="s">
        <v>1015</v>
      </c>
      <c r="R656" s="11">
        <f t="shared" si="20"/>
        <v>6600</v>
      </c>
      <c r="S656" t="str">
        <f t="shared" si="21"/>
        <v>One-Time</v>
      </c>
    </row>
    <row r="657" spans="1:19" ht="15" customHeight="1" x14ac:dyDescent="0.3">
      <c r="A657">
        <v>656</v>
      </c>
      <c r="B657" t="s">
        <v>1016</v>
      </c>
      <c r="C657">
        <v>165114</v>
      </c>
      <c r="D657" t="s">
        <v>114</v>
      </c>
      <c r="E657">
        <v>25</v>
      </c>
      <c r="F657" t="s">
        <v>75</v>
      </c>
      <c r="G657" s="10">
        <v>45326</v>
      </c>
      <c r="H657" t="s">
        <v>38</v>
      </c>
      <c r="I657" t="s">
        <v>82</v>
      </c>
      <c r="J657" t="s">
        <v>49</v>
      </c>
      <c r="K657" t="s">
        <v>142</v>
      </c>
      <c r="L657" t="s">
        <v>58</v>
      </c>
      <c r="M657" t="s">
        <v>116</v>
      </c>
      <c r="N657">
        <v>2</v>
      </c>
      <c r="O657" t="s">
        <v>117</v>
      </c>
      <c r="P657" s="11">
        <v>6600</v>
      </c>
      <c r="Q657" t="s">
        <v>1017</v>
      </c>
      <c r="R657" s="11">
        <f t="shared" si="20"/>
        <v>6600</v>
      </c>
      <c r="S657" t="str">
        <f t="shared" si="21"/>
        <v>One-Time</v>
      </c>
    </row>
    <row r="658" spans="1:19" ht="15" customHeight="1" x14ac:dyDescent="0.3">
      <c r="A658">
        <v>657</v>
      </c>
      <c r="B658" t="s">
        <v>1018</v>
      </c>
      <c r="C658">
        <v>330056</v>
      </c>
      <c r="D658" t="s">
        <v>114</v>
      </c>
      <c r="E658">
        <v>29</v>
      </c>
      <c r="F658" t="s">
        <v>75</v>
      </c>
      <c r="G658" s="10">
        <v>45326</v>
      </c>
      <c r="H658" t="s">
        <v>38</v>
      </c>
      <c r="I658" t="s">
        <v>82</v>
      </c>
      <c r="J658" t="s">
        <v>49</v>
      </c>
      <c r="K658" t="s">
        <v>142</v>
      </c>
      <c r="L658" t="s">
        <v>58</v>
      </c>
      <c r="M658" t="s">
        <v>116</v>
      </c>
      <c r="N658">
        <v>5</v>
      </c>
      <c r="O658" t="s">
        <v>117</v>
      </c>
      <c r="P658" s="11">
        <v>6600</v>
      </c>
      <c r="Q658" t="s">
        <v>1012</v>
      </c>
      <c r="R658" s="11">
        <f t="shared" si="20"/>
        <v>6600</v>
      </c>
      <c r="S658" t="str">
        <f t="shared" si="21"/>
        <v>One-Time</v>
      </c>
    </row>
    <row r="659" spans="1:19" ht="15" customHeight="1" x14ac:dyDescent="0.3">
      <c r="A659">
        <v>658</v>
      </c>
      <c r="B659" t="s">
        <v>1019</v>
      </c>
      <c r="C659">
        <v>8480814</v>
      </c>
      <c r="D659" t="s">
        <v>114</v>
      </c>
      <c r="E659">
        <v>64</v>
      </c>
      <c r="F659" t="s">
        <v>77</v>
      </c>
      <c r="G659" s="10">
        <v>45326</v>
      </c>
      <c r="H659" t="s">
        <v>38</v>
      </c>
      <c r="I659" t="s">
        <v>85</v>
      </c>
      <c r="J659" t="s">
        <v>49</v>
      </c>
      <c r="K659" t="s">
        <v>142</v>
      </c>
      <c r="L659" t="s">
        <v>58</v>
      </c>
      <c r="M659" t="s">
        <v>116</v>
      </c>
      <c r="N659">
        <v>6</v>
      </c>
      <c r="O659" t="s">
        <v>117</v>
      </c>
      <c r="P659" s="11">
        <v>6600</v>
      </c>
      <c r="Q659" t="s">
        <v>218</v>
      </c>
      <c r="R659" s="11">
        <f t="shared" si="20"/>
        <v>0</v>
      </c>
      <c r="S659" t="str">
        <f t="shared" si="21"/>
        <v>One-Time</v>
      </c>
    </row>
    <row r="660" spans="1:19" ht="15" customHeight="1" x14ac:dyDescent="0.3">
      <c r="A660">
        <v>659</v>
      </c>
      <c r="B660" t="s">
        <v>1020</v>
      </c>
      <c r="C660">
        <v>9740627</v>
      </c>
      <c r="D660" t="s">
        <v>114</v>
      </c>
      <c r="E660">
        <v>68</v>
      </c>
      <c r="F660" t="s">
        <v>77</v>
      </c>
      <c r="G660" s="10">
        <v>45326</v>
      </c>
      <c r="H660" t="s">
        <v>38</v>
      </c>
      <c r="I660" t="s">
        <v>82</v>
      </c>
      <c r="J660" t="s">
        <v>49</v>
      </c>
      <c r="K660" t="s">
        <v>142</v>
      </c>
      <c r="L660" t="s">
        <v>58</v>
      </c>
      <c r="M660" t="s">
        <v>122</v>
      </c>
      <c r="N660">
        <v>9</v>
      </c>
      <c r="O660" t="s">
        <v>117</v>
      </c>
      <c r="P660" s="11">
        <v>6600</v>
      </c>
      <c r="Q660" t="s">
        <v>62</v>
      </c>
      <c r="R660" s="11">
        <f t="shared" si="20"/>
        <v>6600</v>
      </c>
      <c r="S660" t="str">
        <f t="shared" si="21"/>
        <v>Repeat</v>
      </c>
    </row>
    <row r="661" spans="1:19" ht="15" customHeight="1" x14ac:dyDescent="0.3">
      <c r="A661">
        <v>660</v>
      </c>
      <c r="B661" t="s">
        <v>1020</v>
      </c>
      <c r="C661">
        <v>9740627</v>
      </c>
      <c r="D661" t="s">
        <v>114</v>
      </c>
      <c r="E661">
        <v>49</v>
      </c>
      <c r="F661" t="s">
        <v>76</v>
      </c>
      <c r="G661" s="10">
        <v>45326</v>
      </c>
      <c r="H661" t="s">
        <v>38</v>
      </c>
      <c r="I661" t="s">
        <v>82</v>
      </c>
      <c r="J661" t="s">
        <v>49</v>
      </c>
      <c r="K661" t="s">
        <v>142</v>
      </c>
      <c r="L661" t="s">
        <v>58</v>
      </c>
      <c r="M661" t="s">
        <v>122</v>
      </c>
      <c r="N661">
        <v>7</v>
      </c>
      <c r="O661" t="s">
        <v>117</v>
      </c>
      <c r="P661" s="11">
        <v>6600</v>
      </c>
      <c r="Q661" t="s">
        <v>69</v>
      </c>
      <c r="R661" s="11">
        <f t="shared" si="20"/>
        <v>6600</v>
      </c>
      <c r="S661" t="str">
        <f t="shared" si="21"/>
        <v>Repeat</v>
      </c>
    </row>
    <row r="662" spans="1:19" ht="15" customHeight="1" x14ac:dyDescent="0.3">
      <c r="A662">
        <v>661</v>
      </c>
      <c r="B662" t="s">
        <v>1021</v>
      </c>
      <c r="C662">
        <v>9143448</v>
      </c>
      <c r="D662" t="s">
        <v>114</v>
      </c>
      <c r="E662">
        <v>44</v>
      </c>
      <c r="F662" t="s">
        <v>76</v>
      </c>
      <c r="G662" s="10">
        <v>45326</v>
      </c>
      <c r="H662" t="s">
        <v>38</v>
      </c>
      <c r="I662" t="s">
        <v>82</v>
      </c>
      <c r="J662" t="s">
        <v>49</v>
      </c>
      <c r="K662" t="s">
        <v>142</v>
      </c>
      <c r="L662" t="s">
        <v>58</v>
      </c>
      <c r="M662" t="s">
        <v>122</v>
      </c>
      <c r="N662">
        <v>81</v>
      </c>
      <c r="O662" t="s">
        <v>117</v>
      </c>
      <c r="P662" s="11">
        <v>6600</v>
      </c>
      <c r="Q662" t="s">
        <v>1022</v>
      </c>
      <c r="R662" s="11">
        <f t="shared" si="20"/>
        <v>6600</v>
      </c>
      <c r="S662" t="str">
        <f t="shared" si="21"/>
        <v>One-Time</v>
      </c>
    </row>
    <row r="663" spans="1:19" ht="15" customHeight="1" x14ac:dyDescent="0.3">
      <c r="A663">
        <v>662</v>
      </c>
      <c r="B663" t="s">
        <v>1023</v>
      </c>
      <c r="C663">
        <v>6604106</v>
      </c>
      <c r="D663" t="s">
        <v>114</v>
      </c>
      <c r="E663">
        <v>24</v>
      </c>
      <c r="F663" t="s">
        <v>75</v>
      </c>
      <c r="G663" s="10">
        <v>45326</v>
      </c>
      <c r="H663" t="s">
        <v>38</v>
      </c>
      <c r="I663" t="s">
        <v>82</v>
      </c>
      <c r="J663" t="s">
        <v>49</v>
      </c>
      <c r="K663" t="s">
        <v>115</v>
      </c>
      <c r="L663" t="s">
        <v>58</v>
      </c>
      <c r="M663" t="s">
        <v>122</v>
      </c>
      <c r="N663">
        <v>24</v>
      </c>
      <c r="O663" t="s">
        <v>117</v>
      </c>
      <c r="P663" s="11">
        <v>6600</v>
      </c>
      <c r="Q663" t="s">
        <v>626</v>
      </c>
      <c r="R663" s="11">
        <f t="shared" si="20"/>
        <v>6600</v>
      </c>
      <c r="S663" t="str">
        <f t="shared" si="21"/>
        <v>One-Time</v>
      </c>
    </row>
    <row r="664" spans="1:19" ht="15" customHeight="1" x14ac:dyDescent="0.3">
      <c r="A664">
        <v>663</v>
      </c>
      <c r="B664" t="s">
        <v>1024</v>
      </c>
      <c r="C664">
        <v>9917475</v>
      </c>
      <c r="D664" t="s">
        <v>114</v>
      </c>
      <c r="E664">
        <v>34</v>
      </c>
      <c r="F664" t="s">
        <v>76</v>
      </c>
      <c r="G664" s="10">
        <v>45326</v>
      </c>
      <c r="H664" t="s">
        <v>38</v>
      </c>
      <c r="I664" t="s">
        <v>82</v>
      </c>
      <c r="J664" t="s">
        <v>49</v>
      </c>
      <c r="K664" t="s">
        <v>115</v>
      </c>
      <c r="L664" t="s">
        <v>58</v>
      </c>
      <c r="M664" t="s">
        <v>122</v>
      </c>
      <c r="N664">
        <v>56</v>
      </c>
      <c r="O664" t="s">
        <v>117</v>
      </c>
      <c r="P664" s="11">
        <v>6900</v>
      </c>
      <c r="Q664" t="s">
        <v>67</v>
      </c>
      <c r="R664" s="11">
        <f t="shared" si="20"/>
        <v>6900</v>
      </c>
      <c r="S664" t="str">
        <f t="shared" si="21"/>
        <v>Repeat</v>
      </c>
    </row>
    <row r="665" spans="1:19" ht="15" customHeight="1" x14ac:dyDescent="0.3">
      <c r="A665">
        <v>664</v>
      </c>
      <c r="B665" t="s">
        <v>1024</v>
      </c>
      <c r="C665">
        <v>9917475</v>
      </c>
      <c r="D665" t="s">
        <v>114</v>
      </c>
      <c r="E665">
        <v>28</v>
      </c>
      <c r="F665" t="s">
        <v>75</v>
      </c>
      <c r="G665" s="10">
        <v>45326</v>
      </c>
      <c r="H665" t="s">
        <v>38</v>
      </c>
      <c r="I665" t="s">
        <v>82</v>
      </c>
      <c r="J665" t="s">
        <v>49</v>
      </c>
      <c r="K665" t="s">
        <v>115</v>
      </c>
      <c r="L665" t="s">
        <v>58</v>
      </c>
      <c r="M665" t="s">
        <v>122</v>
      </c>
      <c r="N665">
        <v>55</v>
      </c>
      <c r="O665" t="s">
        <v>117</v>
      </c>
      <c r="P665" s="11">
        <v>6900</v>
      </c>
      <c r="Q665" t="s">
        <v>64</v>
      </c>
      <c r="R665" s="11">
        <f t="shared" si="20"/>
        <v>6900</v>
      </c>
      <c r="S665" t="str">
        <f t="shared" si="21"/>
        <v>Repeat</v>
      </c>
    </row>
    <row r="666" spans="1:19" ht="15" customHeight="1" x14ac:dyDescent="0.3">
      <c r="A666">
        <v>665</v>
      </c>
      <c r="B666" t="s">
        <v>1025</v>
      </c>
      <c r="C666">
        <v>8161439</v>
      </c>
      <c r="D666" t="s">
        <v>114</v>
      </c>
      <c r="E666">
        <v>35</v>
      </c>
      <c r="F666" t="s">
        <v>76</v>
      </c>
      <c r="G666" s="10">
        <v>45326</v>
      </c>
      <c r="H666" t="s">
        <v>38</v>
      </c>
      <c r="I666" t="s">
        <v>82</v>
      </c>
      <c r="J666" t="s">
        <v>49</v>
      </c>
      <c r="K666" t="s">
        <v>115</v>
      </c>
      <c r="L666" t="s">
        <v>58</v>
      </c>
      <c r="M666" t="s">
        <v>122</v>
      </c>
      <c r="N666">
        <v>5</v>
      </c>
      <c r="O666" t="s">
        <v>117</v>
      </c>
      <c r="P666" s="11">
        <v>6900</v>
      </c>
      <c r="Q666" t="s">
        <v>1026</v>
      </c>
      <c r="R666" s="11">
        <f t="shared" si="20"/>
        <v>6900</v>
      </c>
      <c r="S666" t="str">
        <f t="shared" si="21"/>
        <v>One-Time</v>
      </c>
    </row>
    <row r="667" spans="1:19" ht="15" customHeight="1" x14ac:dyDescent="0.3">
      <c r="A667">
        <v>666</v>
      </c>
      <c r="B667" t="s">
        <v>1027</v>
      </c>
      <c r="C667">
        <v>3946933</v>
      </c>
      <c r="D667" t="s">
        <v>114</v>
      </c>
      <c r="E667">
        <v>45</v>
      </c>
      <c r="F667" t="s">
        <v>76</v>
      </c>
      <c r="G667" s="10">
        <v>45326</v>
      </c>
      <c r="H667" t="s">
        <v>38</v>
      </c>
      <c r="I667" t="s">
        <v>85</v>
      </c>
      <c r="J667" t="s">
        <v>49</v>
      </c>
      <c r="K667" t="s">
        <v>115</v>
      </c>
      <c r="L667" t="s">
        <v>58</v>
      </c>
      <c r="M667" t="s">
        <v>122</v>
      </c>
      <c r="N667">
        <v>4</v>
      </c>
      <c r="O667" t="s">
        <v>117</v>
      </c>
      <c r="P667" s="11">
        <v>6900</v>
      </c>
      <c r="Q667" t="s">
        <v>194</v>
      </c>
      <c r="R667" s="11">
        <f t="shared" si="20"/>
        <v>0</v>
      </c>
      <c r="S667" t="str">
        <f t="shared" si="21"/>
        <v>One-Time</v>
      </c>
    </row>
    <row r="668" spans="1:19" ht="15" customHeight="1" x14ac:dyDescent="0.3">
      <c r="A668">
        <v>667</v>
      </c>
      <c r="B668" t="s">
        <v>1028</v>
      </c>
      <c r="C668">
        <v>3357610</v>
      </c>
      <c r="D668" t="s">
        <v>114</v>
      </c>
      <c r="E668">
        <v>77</v>
      </c>
      <c r="F668" t="s">
        <v>77</v>
      </c>
      <c r="G668" s="10">
        <v>45366</v>
      </c>
      <c r="H668" t="s">
        <v>39</v>
      </c>
      <c r="I668" t="s">
        <v>82</v>
      </c>
      <c r="J668" t="s">
        <v>49</v>
      </c>
      <c r="K668" t="s">
        <v>168</v>
      </c>
      <c r="L668" t="s">
        <v>58</v>
      </c>
      <c r="M668" t="s">
        <v>122</v>
      </c>
      <c r="N668">
        <v>8</v>
      </c>
      <c r="O668" t="s">
        <v>117</v>
      </c>
      <c r="P668" s="11">
        <v>6900</v>
      </c>
      <c r="Q668" t="s">
        <v>62</v>
      </c>
      <c r="R668" s="11">
        <f t="shared" si="20"/>
        <v>6900</v>
      </c>
      <c r="S668" t="str">
        <f t="shared" si="21"/>
        <v>One-Time</v>
      </c>
    </row>
    <row r="669" spans="1:19" ht="15" customHeight="1" x14ac:dyDescent="0.3">
      <c r="A669">
        <v>668</v>
      </c>
      <c r="B669" t="s">
        <v>1029</v>
      </c>
      <c r="C669">
        <v>2411749</v>
      </c>
      <c r="D669" t="s">
        <v>114</v>
      </c>
      <c r="E669">
        <v>19</v>
      </c>
      <c r="F669" t="s">
        <v>75</v>
      </c>
      <c r="G669" s="10">
        <v>45367</v>
      </c>
      <c r="H669" t="s">
        <v>39</v>
      </c>
      <c r="I669" t="s">
        <v>82</v>
      </c>
      <c r="J669" t="s">
        <v>49</v>
      </c>
      <c r="K669" t="s">
        <v>168</v>
      </c>
      <c r="L669" t="s">
        <v>58</v>
      </c>
      <c r="M669" t="s">
        <v>122</v>
      </c>
      <c r="N669">
        <v>7</v>
      </c>
      <c r="O669" t="s">
        <v>117</v>
      </c>
      <c r="P669" s="11">
        <v>6900</v>
      </c>
      <c r="Q669" t="s">
        <v>1030</v>
      </c>
      <c r="R669" s="11">
        <f t="shared" si="20"/>
        <v>6900</v>
      </c>
      <c r="S669" t="str">
        <f t="shared" si="21"/>
        <v>One-Time</v>
      </c>
    </row>
    <row r="670" spans="1:19" ht="15" customHeight="1" x14ac:dyDescent="0.3">
      <c r="A670">
        <v>669</v>
      </c>
      <c r="B670" t="s">
        <v>1031</v>
      </c>
      <c r="C670">
        <v>5633467</v>
      </c>
      <c r="D670" t="s">
        <v>114</v>
      </c>
      <c r="E670">
        <v>18</v>
      </c>
      <c r="F670" t="s">
        <v>75</v>
      </c>
      <c r="G670" s="10">
        <v>45368</v>
      </c>
      <c r="H670" t="s">
        <v>39</v>
      </c>
      <c r="I670" t="s">
        <v>82</v>
      </c>
      <c r="J670" t="s">
        <v>49</v>
      </c>
      <c r="K670" t="s">
        <v>168</v>
      </c>
      <c r="L670" t="s">
        <v>58</v>
      </c>
      <c r="M670" t="s">
        <v>122</v>
      </c>
      <c r="N670">
        <v>9</v>
      </c>
      <c r="O670" t="s">
        <v>117</v>
      </c>
      <c r="P670" s="11">
        <v>6900</v>
      </c>
      <c r="Q670" t="s">
        <v>401</v>
      </c>
      <c r="R670" s="11">
        <f t="shared" si="20"/>
        <v>6900</v>
      </c>
      <c r="S670" t="str">
        <f t="shared" si="21"/>
        <v>Repeat</v>
      </c>
    </row>
    <row r="671" spans="1:19" ht="15" customHeight="1" x14ac:dyDescent="0.3">
      <c r="A671">
        <v>670</v>
      </c>
      <c r="B671" t="s">
        <v>1031</v>
      </c>
      <c r="C671">
        <v>5633467</v>
      </c>
      <c r="D671" t="s">
        <v>114</v>
      </c>
      <c r="E671">
        <v>34</v>
      </c>
      <c r="F671" t="s">
        <v>76</v>
      </c>
      <c r="G671" s="10">
        <v>45369</v>
      </c>
      <c r="H671" t="s">
        <v>39</v>
      </c>
      <c r="I671" t="s">
        <v>82</v>
      </c>
      <c r="J671" t="s">
        <v>49</v>
      </c>
      <c r="K671" t="s">
        <v>168</v>
      </c>
      <c r="L671" t="s">
        <v>58</v>
      </c>
      <c r="M671" t="s">
        <v>122</v>
      </c>
      <c r="N671">
        <v>3</v>
      </c>
      <c r="O671" t="s">
        <v>117</v>
      </c>
      <c r="P671" s="11">
        <v>6900</v>
      </c>
      <c r="Q671" t="s">
        <v>66</v>
      </c>
      <c r="R671" s="11">
        <f t="shared" si="20"/>
        <v>6900</v>
      </c>
      <c r="S671" t="str">
        <f t="shared" si="21"/>
        <v>Repeat</v>
      </c>
    </row>
    <row r="672" spans="1:19" ht="15" customHeight="1" x14ac:dyDescent="0.3">
      <c r="A672">
        <v>671</v>
      </c>
      <c r="B672" t="s">
        <v>1032</v>
      </c>
      <c r="C672">
        <v>3228955</v>
      </c>
      <c r="D672" t="s">
        <v>114</v>
      </c>
      <c r="E672">
        <v>51</v>
      </c>
      <c r="F672" t="s">
        <v>77</v>
      </c>
      <c r="G672" s="10">
        <v>45370</v>
      </c>
      <c r="H672" t="s">
        <v>39</v>
      </c>
      <c r="I672" t="s">
        <v>83</v>
      </c>
      <c r="J672" t="s">
        <v>49</v>
      </c>
      <c r="K672" t="s">
        <v>168</v>
      </c>
      <c r="L672" t="s">
        <v>58</v>
      </c>
      <c r="M672" t="s">
        <v>315</v>
      </c>
      <c r="N672">
        <v>32</v>
      </c>
      <c r="O672" t="s">
        <v>117</v>
      </c>
      <c r="P672" s="11">
        <v>6900</v>
      </c>
      <c r="Q672" t="s">
        <v>69</v>
      </c>
      <c r="R672" s="11">
        <f t="shared" si="20"/>
        <v>0</v>
      </c>
      <c r="S672" t="str">
        <f t="shared" si="21"/>
        <v>One-Time</v>
      </c>
    </row>
    <row r="673" spans="1:19" ht="15" customHeight="1" x14ac:dyDescent="0.3">
      <c r="A673">
        <v>672</v>
      </c>
      <c r="B673" t="s">
        <v>1033</v>
      </c>
      <c r="C673">
        <v>9973433</v>
      </c>
      <c r="D673" t="s">
        <v>114</v>
      </c>
      <c r="E673">
        <v>29</v>
      </c>
      <c r="F673" t="s">
        <v>75</v>
      </c>
      <c r="G673" s="10">
        <v>45371</v>
      </c>
      <c r="H673" t="s">
        <v>39</v>
      </c>
      <c r="I673" t="s">
        <v>82</v>
      </c>
      <c r="J673" t="s">
        <v>49</v>
      </c>
      <c r="K673" t="s">
        <v>168</v>
      </c>
      <c r="L673" t="s">
        <v>58</v>
      </c>
      <c r="M673" t="s">
        <v>315</v>
      </c>
      <c r="N673">
        <v>65</v>
      </c>
      <c r="O673" t="s">
        <v>117</v>
      </c>
      <c r="P673" s="11">
        <v>6900</v>
      </c>
      <c r="Q673" t="s">
        <v>522</v>
      </c>
      <c r="R673" s="11">
        <f t="shared" si="20"/>
        <v>6900</v>
      </c>
      <c r="S673" t="str">
        <f t="shared" si="21"/>
        <v>One-Time</v>
      </c>
    </row>
    <row r="674" spans="1:19" ht="15" customHeight="1" x14ac:dyDescent="0.3">
      <c r="A674">
        <v>673</v>
      </c>
      <c r="B674" t="s">
        <v>1034</v>
      </c>
      <c r="C674">
        <v>1130253</v>
      </c>
      <c r="D674" t="s">
        <v>114</v>
      </c>
      <c r="E674">
        <v>32</v>
      </c>
      <c r="F674" t="s">
        <v>76</v>
      </c>
      <c r="G674" s="10">
        <v>45372</v>
      </c>
      <c r="H674" t="s">
        <v>39</v>
      </c>
      <c r="I674" t="s">
        <v>82</v>
      </c>
      <c r="J674" t="s">
        <v>49</v>
      </c>
      <c r="K674" t="s">
        <v>168</v>
      </c>
      <c r="L674" t="s">
        <v>58</v>
      </c>
      <c r="M674" t="s">
        <v>315</v>
      </c>
      <c r="N674">
        <v>4</v>
      </c>
      <c r="O674" t="s">
        <v>117</v>
      </c>
      <c r="P674" s="11">
        <v>6900</v>
      </c>
      <c r="Q674" t="s">
        <v>63</v>
      </c>
      <c r="R674" s="11">
        <f t="shared" si="20"/>
        <v>6900</v>
      </c>
      <c r="S674" t="str">
        <f t="shared" si="21"/>
        <v>One-Time</v>
      </c>
    </row>
    <row r="675" spans="1:19" ht="15" customHeight="1" x14ac:dyDescent="0.3">
      <c r="A675">
        <v>674</v>
      </c>
      <c r="B675" t="s">
        <v>1035</v>
      </c>
      <c r="C675">
        <v>9716987</v>
      </c>
      <c r="D675" t="s">
        <v>114</v>
      </c>
      <c r="E675">
        <v>76</v>
      </c>
      <c r="F675" t="s">
        <v>77</v>
      </c>
      <c r="G675" s="10">
        <v>45373</v>
      </c>
      <c r="H675" t="s">
        <v>39</v>
      </c>
      <c r="I675" t="s">
        <v>82</v>
      </c>
      <c r="J675" t="s">
        <v>49</v>
      </c>
      <c r="K675" t="s">
        <v>168</v>
      </c>
      <c r="L675" t="s">
        <v>58</v>
      </c>
      <c r="M675" t="s">
        <v>315</v>
      </c>
      <c r="N675">
        <v>1</v>
      </c>
      <c r="O675" t="s">
        <v>117</v>
      </c>
      <c r="P675" s="11">
        <v>6900</v>
      </c>
      <c r="Q675" t="s">
        <v>565</v>
      </c>
      <c r="R675" s="11">
        <f t="shared" si="20"/>
        <v>6900</v>
      </c>
      <c r="S675" t="str">
        <f t="shared" si="21"/>
        <v>One-Time</v>
      </c>
    </row>
    <row r="676" spans="1:19" ht="15" customHeight="1" x14ac:dyDescent="0.3">
      <c r="A676">
        <v>675</v>
      </c>
      <c r="B676" t="s">
        <v>1036</v>
      </c>
      <c r="C676">
        <v>1032774</v>
      </c>
      <c r="D676" t="s">
        <v>114</v>
      </c>
      <c r="E676">
        <v>27</v>
      </c>
      <c r="F676" t="s">
        <v>75</v>
      </c>
      <c r="G676" s="10">
        <v>45374</v>
      </c>
      <c r="H676" t="s">
        <v>39</v>
      </c>
      <c r="I676" t="s">
        <v>82</v>
      </c>
      <c r="J676" t="s">
        <v>49</v>
      </c>
      <c r="K676" t="s">
        <v>168</v>
      </c>
      <c r="L676" t="s">
        <v>58</v>
      </c>
      <c r="M676" t="s">
        <v>315</v>
      </c>
      <c r="N676">
        <v>47</v>
      </c>
      <c r="O676" t="s">
        <v>117</v>
      </c>
      <c r="P676" s="11">
        <v>6900</v>
      </c>
      <c r="Q676" t="s">
        <v>1037</v>
      </c>
      <c r="R676" s="11">
        <f t="shared" si="20"/>
        <v>6900</v>
      </c>
      <c r="S676" t="str">
        <f t="shared" si="21"/>
        <v>One-Time</v>
      </c>
    </row>
    <row r="677" spans="1:19" ht="15" customHeight="1" x14ac:dyDescent="0.3">
      <c r="A677">
        <v>676</v>
      </c>
      <c r="B677" t="s">
        <v>1038</v>
      </c>
      <c r="C677">
        <v>125115</v>
      </c>
      <c r="D677" t="s">
        <v>114</v>
      </c>
      <c r="E677">
        <v>46</v>
      </c>
      <c r="F677" t="s">
        <v>76</v>
      </c>
      <c r="G677" s="10">
        <v>45375</v>
      </c>
      <c r="H677" t="s">
        <v>39</v>
      </c>
      <c r="I677" t="s">
        <v>82</v>
      </c>
      <c r="J677" t="s">
        <v>49</v>
      </c>
      <c r="K677" t="s">
        <v>182</v>
      </c>
      <c r="L677" t="s">
        <v>58</v>
      </c>
      <c r="M677" t="s">
        <v>315</v>
      </c>
      <c r="N677">
        <v>3</v>
      </c>
      <c r="O677" t="s">
        <v>117</v>
      </c>
      <c r="P677" s="11">
        <v>6900</v>
      </c>
      <c r="Q677" t="s">
        <v>1039</v>
      </c>
      <c r="R677" s="11">
        <f t="shared" si="20"/>
        <v>6900</v>
      </c>
      <c r="S677" t="str">
        <f t="shared" si="21"/>
        <v>One-Time</v>
      </c>
    </row>
    <row r="678" spans="1:19" ht="15" customHeight="1" x14ac:dyDescent="0.3">
      <c r="A678">
        <v>677</v>
      </c>
      <c r="B678" t="s">
        <v>1040</v>
      </c>
      <c r="C678">
        <v>6537606</v>
      </c>
      <c r="D678" t="s">
        <v>114</v>
      </c>
      <c r="E678">
        <v>30</v>
      </c>
      <c r="F678" t="s">
        <v>76</v>
      </c>
      <c r="G678" s="10">
        <v>45376</v>
      </c>
      <c r="H678" t="s">
        <v>39</v>
      </c>
      <c r="I678" t="s">
        <v>82</v>
      </c>
      <c r="J678" t="s">
        <v>49</v>
      </c>
      <c r="K678" t="s">
        <v>182</v>
      </c>
      <c r="L678" t="s">
        <v>58</v>
      </c>
      <c r="M678" t="s">
        <v>315</v>
      </c>
      <c r="N678">
        <v>4</v>
      </c>
      <c r="O678" t="s">
        <v>117</v>
      </c>
      <c r="P678" s="11">
        <v>6900</v>
      </c>
      <c r="Q678" t="s">
        <v>63</v>
      </c>
      <c r="R678" s="11">
        <f t="shared" si="20"/>
        <v>6900</v>
      </c>
      <c r="S678" t="str">
        <f t="shared" si="21"/>
        <v>One-Time</v>
      </c>
    </row>
    <row r="679" spans="1:19" ht="15" customHeight="1" x14ac:dyDescent="0.3">
      <c r="A679">
        <v>678</v>
      </c>
      <c r="B679" t="s">
        <v>1041</v>
      </c>
      <c r="C679">
        <v>82399</v>
      </c>
      <c r="D679" t="s">
        <v>114</v>
      </c>
      <c r="E679">
        <v>20</v>
      </c>
      <c r="F679" t="s">
        <v>75</v>
      </c>
      <c r="G679" s="10">
        <v>45377</v>
      </c>
      <c r="H679" t="s">
        <v>39</v>
      </c>
      <c r="I679" t="s">
        <v>84</v>
      </c>
      <c r="J679" t="s">
        <v>49</v>
      </c>
      <c r="K679" t="s">
        <v>182</v>
      </c>
      <c r="L679" t="s">
        <v>58</v>
      </c>
      <c r="M679" t="s">
        <v>315</v>
      </c>
      <c r="N679">
        <v>4</v>
      </c>
      <c r="O679" t="s">
        <v>117</v>
      </c>
      <c r="P679" s="11">
        <v>6900</v>
      </c>
      <c r="Q679" t="s">
        <v>66</v>
      </c>
      <c r="R679" s="11">
        <f t="shared" si="20"/>
        <v>0</v>
      </c>
      <c r="S679" t="str">
        <f t="shared" si="21"/>
        <v>One-Time</v>
      </c>
    </row>
    <row r="680" spans="1:19" ht="15" customHeight="1" x14ac:dyDescent="0.3">
      <c r="A680">
        <v>679</v>
      </c>
      <c r="B680" t="s">
        <v>1042</v>
      </c>
      <c r="C680">
        <v>6673630</v>
      </c>
      <c r="D680" t="s">
        <v>114</v>
      </c>
      <c r="E680">
        <v>21</v>
      </c>
      <c r="F680" t="s">
        <v>75</v>
      </c>
      <c r="G680" s="10">
        <v>45378</v>
      </c>
      <c r="H680" t="s">
        <v>39</v>
      </c>
      <c r="I680" t="s">
        <v>82</v>
      </c>
      <c r="J680" t="s">
        <v>49</v>
      </c>
      <c r="K680" t="s">
        <v>182</v>
      </c>
      <c r="L680" t="s">
        <v>58</v>
      </c>
      <c r="M680" t="s">
        <v>315</v>
      </c>
      <c r="N680">
        <v>9</v>
      </c>
      <c r="O680" t="s">
        <v>117</v>
      </c>
      <c r="P680" s="11">
        <v>6900</v>
      </c>
      <c r="Q680" t="s">
        <v>62</v>
      </c>
      <c r="R680" s="11">
        <f t="shared" si="20"/>
        <v>6900</v>
      </c>
      <c r="S680" t="str">
        <f t="shared" si="21"/>
        <v>Repeat</v>
      </c>
    </row>
    <row r="681" spans="1:19" ht="15" customHeight="1" x14ac:dyDescent="0.3">
      <c r="A681">
        <v>680</v>
      </c>
      <c r="B681" t="s">
        <v>1042</v>
      </c>
      <c r="C681">
        <v>6673630</v>
      </c>
      <c r="D681" t="s">
        <v>114</v>
      </c>
      <c r="E681">
        <v>46</v>
      </c>
      <c r="F681" t="s">
        <v>76</v>
      </c>
      <c r="G681" s="10">
        <v>45379</v>
      </c>
      <c r="H681" t="s">
        <v>39</v>
      </c>
      <c r="I681" t="s">
        <v>82</v>
      </c>
      <c r="J681" t="s">
        <v>49</v>
      </c>
      <c r="K681" t="s">
        <v>182</v>
      </c>
      <c r="L681" t="s">
        <v>58</v>
      </c>
      <c r="M681" t="s">
        <v>315</v>
      </c>
      <c r="N681">
        <v>8</v>
      </c>
      <c r="O681" t="s">
        <v>117</v>
      </c>
      <c r="P681" s="11">
        <v>6900</v>
      </c>
      <c r="Q681" t="s">
        <v>958</v>
      </c>
      <c r="R681" s="11">
        <f t="shared" si="20"/>
        <v>6900</v>
      </c>
      <c r="S681" t="str">
        <f t="shared" si="21"/>
        <v>Repeat</v>
      </c>
    </row>
    <row r="682" spans="1:19" ht="15" customHeight="1" x14ac:dyDescent="0.3">
      <c r="A682">
        <v>681</v>
      </c>
      <c r="B682" t="s">
        <v>1043</v>
      </c>
      <c r="C682">
        <v>5782801</v>
      </c>
      <c r="D682" t="s">
        <v>114</v>
      </c>
      <c r="E682">
        <v>48</v>
      </c>
      <c r="F682" t="s">
        <v>76</v>
      </c>
      <c r="G682" s="10">
        <v>45380</v>
      </c>
      <c r="H682" t="s">
        <v>39</v>
      </c>
      <c r="I682" t="s">
        <v>85</v>
      </c>
      <c r="J682" t="s">
        <v>49</v>
      </c>
      <c r="K682" t="s">
        <v>182</v>
      </c>
      <c r="L682" t="s">
        <v>58</v>
      </c>
      <c r="M682" t="s">
        <v>315</v>
      </c>
      <c r="N682">
        <v>3</v>
      </c>
      <c r="O682" t="s">
        <v>117</v>
      </c>
      <c r="P682" s="11">
        <v>6900</v>
      </c>
      <c r="Q682" t="s">
        <v>63</v>
      </c>
      <c r="R682" s="11">
        <f t="shared" si="20"/>
        <v>0</v>
      </c>
      <c r="S682" t="str">
        <f t="shared" si="21"/>
        <v>One-Time</v>
      </c>
    </row>
    <row r="683" spans="1:19" ht="15" customHeight="1" x14ac:dyDescent="0.3">
      <c r="A683">
        <v>682</v>
      </c>
      <c r="B683" t="s">
        <v>1044</v>
      </c>
      <c r="C683">
        <v>5183329</v>
      </c>
      <c r="D683" t="s">
        <v>114</v>
      </c>
      <c r="E683">
        <v>66</v>
      </c>
      <c r="F683" t="s">
        <v>77</v>
      </c>
      <c r="G683" s="10">
        <v>45381</v>
      </c>
      <c r="H683" t="s">
        <v>39</v>
      </c>
      <c r="I683" t="s">
        <v>82</v>
      </c>
      <c r="J683" t="s">
        <v>49</v>
      </c>
      <c r="K683" t="s">
        <v>182</v>
      </c>
      <c r="L683" t="s">
        <v>58</v>
      </c>
      <c r="M683" t="s">
        <v>315</v>
      </c>
      <c r="N683">
        <v>6</v>
      </c>
      <c r="O683" t="s">
        <v>117</v>
      </c>
      <c r="P683" s="11">
        <v>6900</v>
      </c>
      <c r="Q683" t="s">
        <v>62</v>
      </c>
      <c r="R683" s="11">
        <f t="shared" si="20"/>
        <v>6900</v>
      </c>
      <c r="S683" t="str">
        <f t="shared" si="21"/>
        <v>One-Time</v>
      </c>
    </row>
    <row r="684" spans="1:19" ht="15" customHeight="1" x14ac:dyDescent="0.3">
      <c r="A684">
        <v>683</v>
      </c>
      <c r="B684" t="s">
        <v>1045</v>
      </c>
      <c r="C684">
        <v>8426061</v>
      </c>
      <c r="D684" t="s">
        <v>114</v>
      </c>
      <c r="E684">
        <v>18</v>
      </c>
      <c r="F684" t="s">
        <v>75</v>
      </c>
      <c r="G684" s="10">
        <v>45382</v>
      </c>
      <c r="H684" t="s">
        <v>39</v>
      </c>
      <c r="I684" t="s">
        <v>82</v>
      </c>
      <c r="J684" t="s">
        <v>49</v>
      </c>
      <c r="K684" t="s">
        <v>182</v>
      </c>
      <c r="L684" t="s">
        <v>58</v>
      </c>
      <c r="M684" t="s">
        <v>315</v>
      </c>
      <c r="N684">
        <v>9</v>
      </c>
      <c r="O684" t="s">
        <v>117</v>
      </c>
      <c r="P684" s="11">
        <v>6900</v>
      </c>
      <c r="Q684" t="s">
        <v>1046</v>
      </c>
      <c r="R684" s="11">
        <f t="shared" si="20"/>
        <v>6900</v>
      </c>
      <c r="S684" t="str">
        <f t="shared" si="21"/>
        <v>One-Time</v>
      </c>
    </row>
    <row r="685" spans="1:19" ht="15" customHeight="1" x14ac:dyDescent="0.3">
      <c r="A685">
        <v>684</v>
      </c>
      <c r="B685" t="s">
        <v>1047</v>
      </c>
      <c r="C685">
        <v>7753431</v>
      </c>
      <c r="D685" t="s">
        <v>114</v>
      </c>
      <c r="E685">
        <v>22</v>
      </c>
      <c r="F685" t="s">
        <v>75</v>
      </c>
      <c r="G685" s="10">
        <v>45383</v>
      </c>
      <c r="H685" t="s">
        <v>40</v>
      </c>
      <c r="I685" t="s">
        <v>82</v>
      </c>
      <c r="J685" t="s">
        <v>49</v>
      </c>
      <c r="K685" t="s">
        <v>184</v>
      </c>
      <c r="L685" t="s">
        <v>58</v>
      </c>
      <c r="M685" t="s">
        <v>315</v>
      </c>
      <c r="N685">
        <v>2</v>
      </c>
      <c r="O685" t="s">
        <v>117</v>
      </c>
      <c r="P685" s="11">
        <v>6300</v>
      </c>
      <c r="Q685" t="s">
        <v>1048</v>
      </c>
      <c r="R685" s="11">
        <f t="shared" si="20"/>
        <v>6300</v>
      </c>
      <c r="S685" t="str">
        <f t="shared" si="21"/>
        <v>One-Time</v>
      </c>
    </row>
    <row r="686" spans="1:19" ht="15" customHeight="1" x14ac:dyDescent="0.3">
      <c r="A686">
        <v>685</v>
      </c>
      <c r="B686" t="s">
        <v>1049</v>
      </c>
      <c r="C686">
        <v>9159324</v>
      </c>
      <c r="D686" t="s">
        <v>114</v>
      </c>
      <c r="E686">
        <v>18</v>
      </c>
      <c r="F686" t="s">
        <v>75</v>
      </c>
      <c r="G686" s="10">
        <v>45384</v>
      </c>
      <c r="H686" t="s">
        <v>40</v>
      </c>
      <c r="I686" t="s">
        <v>82</v>
      </c>
      <c r="J686" t="s">
        <v>49</v>
      </c>
      <c r="K686" t="s">
        <v>184</v>
      </c>
      <c r="L686" t="s">
        <v>58</v>
      </c>
      <c r="M686" t="s">
        <v>315</v>
      </c>
      <c r="N686">
        <v>5</v>
      </c>
      <c r="O686" t="s">
        <v>117</v>
      </c>
      <c r="P686" s="11">
        <v>6300</v>
      </c>
      <c r="Q686" t="s">
        <v>68</v>
      </c>
      <c r="R686" s="11">
        <f t="shared" si="20"/>
        <v>6300</v>
      </c>
      <c r="S686" t="str">
        <f t="shared" si="21"/>
        <v>One-Time</v>
      </c>
    </row>
    <row r="687" spans="1:19" ht="15" customHeight="1" x14ac:dyDescent="0.3">
      <c r="A687">
        <v>686</v>
      </c>
      <c r="B687" t="s">
        <v>1050</v>
      </c>
      <c r="C687">
        <v>3646143</v>
      </c>
      <c r="D687" t="s">
        <v>114</v>
      </c>
      <c r="E687">
        <v>36</v>
      </c>
      <c r="F687" t="s">
        <v>76</v>
      </c>
      <c r="G687" s="10">
        <v>45385</v>
      </c>
      <c r="H687" t="s">
        <v>40</v>
      </c>
      <c r="I687" t="s">
        <v>82</v>
      </c>
      <c r="J687" t="s">
        <v>49</v>
      </c>
      <c r="K687" t="s">
        <v>184</v>
      </c>
      <c r="L687" t="s">
        <v>58</v>
      </c>
      <c r="M687" t="s">
        <v>315</v>
      </c>
      <c r="N687">
        <v>6</v>
      </c>
      <c r="O687" t="s">
        <v>117</v>
      </c>
      <c r="P687" s="11">
        <v>6300</v>
      </c>
      <c r="Q687" t="s">
        <v>63</v>
      </c>
      <c r="R687" s="11">
        <f t="shared" si="20"/>
        <v>6300</v>
      </c>
      <c r="S687" t="str">
        <f t="shared" si="21"/>
        <v>One-Time</v>
      </c>
    </row>
    <row r="688" spans="1:19" ht="15" customHeight="1" x14ac:dyDescent="0.3">
      <c r="A688">
        <v>687</v>
      </c>
      <c r="B688" t="s">
        <v>1051</v>
      </c>
      <c r="C688">
        <v>805366</v>
      </c>
      <c r="D688" t="s">
        <v>114</v>
      </c>
      <c r="E688">
        <v>41</v>
      </c>
      <c r="F688" t="s">
        <v>76</v>
      </c>
      <c r="G688" s="10">
        <v>45386</v>
      </c>
      <c r="H688" t="s">
        <v>40</v>
      </c>
      <c r="I688" t="s">
        <v>82</v>
      </c>
      <c r="J688" t="s">
        <v>49</v>
      </c>
      <c r="K688" t="s">
        <v>184</v>
      </c>
      <c r="L688" t="s">
        <v>58</v>
      </c>
      <c r="M688" t="s">
        <v>315</v>
      </c>
      <c r="N688">
        <v>9</v>
      </c>
      <c r="O688" t="s">
        <v>117</v>
      </c>
      <c r="P688" s="11">
        <v>6300</v>
      </c>
      <c r="Q688" t="s">
        <v>66</v>
      </c>
      <c r="R688" s="11">
        <f t="shared" si="20"/>
        <v>6300</v>
      </c>
      <c r="S688" t="str">
        <f t="shared" si="21"/>
        <v>One-Time</v>
      </c>
    </row>
    <row r="689" spans="1:19" ht="15" customHeight="1" x14ac:dyDescent="0.3">
      <c r="A689">
        <v>688</v>
      </c>
      <c r="B689" t="s">
        <v>1052</v>
      </c>
      <c r="C689">
        <v>6120035</v>
      </c>
      <c r="D689" t="s">
        <v>114</v>
      </c>
      <c r="E689">
        <v>29</v>
      </c>
      <c r="F689" t="s">
        <v>75</v>
      </c>
      <c r="G689" s="10">
        <v>45387</v>
      </c>
      <c r="H689" t="s">
        <v>40</v>
      </c>
      <c r="I689" t="s">
        <v>82</v>
      </c>
      <c r="J689" t="s">
        <v>49</v>
      </c>
      <c r="K689" t="s">
        <v>184</v>
      </c>
      <c r="L689" t="s">
        <v>58</v>
      </c>
      <c r="M689" t="s">
        <v>315</v>
      </c>
      <c r="N689">
        <v>7</v>
      </c>
      <c r="O689" t="s">
        <v>117</v>
      </c>
      <c r="P689" s="11">
        <v>6300</v>
      </c>
      <c r="Q689" t="s">
        <v>390</v>
      </c>
      <c r="R689" s="11">
        <f t="shared" si="20"/>
        <v>6300</v>
      </c>
      <c r="S689" t="str">
        <f t="shared" si="21"/>
        <v>One-Time</v>
      </c>
    </row>
    <row r="690" spans="1:19" ht="15" customHeight="1" x14ac:dyDescent="0.3">
      <c r="A690">
        <v>689</v>
      </c>
      <c r="B690" t="s">
        <v>1053</v>
      </c>
      <c r="C690">
        <v>1702986</v>
      </c>
      <c r="D690" t="s">
        <v>114</v>
      </c>
      <c r="E690">
        <v>56</v>
      </c>
      <c r="F690" t="s">
        <v>77</v>
      </c>
      <c r="G690" s="10">
        <v>45388</v>
      </c>
      <c r="H690" t="s">
        <v>40</v>
      </c>
      <c r="I690" t="s">
        <v>85</v>
      </c>
      <c r="J690" t="s">
        <v>49</v>
      </c>
      <c r="K690" t="s">
        <v>184</v>
      </c>
      <c r="L690" t="s">
        <v>58</v>
      </c>
      <c r="M690" t="s">
        <v>315</v>
      </c>
      <c r="N690">
        <v>81</v>
      </c>
      <c r="O690" t="s">
        <v>117</v>
      </c>
      <c r="P690" s="11">
        <v>6300</v>
      </c>
      <c r="Q690" t="s">
        <v>62</v>
      </c>
      <c r="R690" s="11">
        <f t="shared" si="20"/>
        <v>0</v>
      </c>
      <c r="S690" t="str">
        <f t="shared" si="21"/>
        <v>One-Time</v>
      </c>
    </row>
    <row r="691" spans="1:19" ht="15" customHeight="1" x14ac:dyDescent="0.3">
      <c r="A691">
        <v>690</v>
      </c>
      <c r="B691" t="s">
        <v>1054</v>
      </c>
      <c r="C691">
        <v>8413071</v>
      </c>
      <c r="D691" t="s">
        <v>114</v>
      </c>
      <c r="E691">
        <v>46</v>
      </c>
      <c r="F691" t="s">
        <v>76</v>
      </c>
      <c r="G691" s="10">
        <v>45389</v>
      </c>
      <c r="H691" t="s">
        <v>40</v>
      </c>
      <c r="I691" t="s">
        <v>82</v>
      </c>
      <c r="J691" t="s">
        <v>49</v>
      </c>
      <c r="K691" t="s">
        <v>184</v>
      </c>
      <c r="L691" t="s">
        <v>58</v>
      </c>
      <c r="M691" t="s">
        <v>315</v>
      </c>
      <c r="N691">
        <v>24</v>
      </c>
      <c r="O691" t="s">
        <v>117</v>
      </c>
      <c r="P691" s="11">
        <v>6300</v>
      </c>
      <c r="Q691" t="s">
        <v>62</v>
      </c>
      <c r="R691" s="11">
        <f t="shared" si="20"/>
        <v>6300</v>
      </c>
      <c r="S691" t="str">
        <f t="shared" si="21"/>
        <v>One-Time</v>
      </c>
    </row>
    <row r="692" spans="1:19" ht="15" customHeight="1" x14ac:dyDescent="0.3">
      <c r="A692">
        <v>691</v>
      </c>
      <c r="B692" t="s">
        <v>1055</v>
      </c>
      <c r="C692">
        <v>3883141</v>
      </c>
      <c r="D692" t="s">
        <v>114</v>
      </c>
      <c r="E692">
        <v>55</v>
      </c>
      <c r="F692" t="s">
        <v>77</v>
      </c>
      <c r="G692" s="10">
        <v>45390</v>
      </c>
      <c r="H692" t="s">
        <v>40</v>
      </c>
      <c r="I692" t="s">
        <v>82</v>
      </c>
      <c r="J692" t="s">
        <v>49</v>
      </c>
      <c r="K692" t="s">
        <v>184</v>
      </c>
      <c r="L692" t="s">
        <v>59</v>
      </c>
      <c r="M692" t="s">
        <v>315</v>
      </c>
      <c r="N692">
        <v>56</v>
      </c>
      <c r="O692" t="s">
        <v>117</v>
      </c>
      <c r="P692" s="11">
        <v>6300</v>
      </c>
      <c r="Q692" t="s">
        <v>62</v>
      </c>
      <c r="R692" s="11">
        <f t="shared" si="20"/>
        <v>6300</v>
      </c>
      <c r="S692" t="str">
        <f t="shared" si="21"/>
        <v>One-Time</v>
      </c>
    </row>
    <row r="693" spans="1:19" ht="15" customHeight="1" x14ac:dyDescent="0.3">
      <c r="A693">
        <v>692</v>
      </c>
      <c r="B693" t="s">
        <v>1056</v>
      </c>
      <c r="C693">
        <v>4815236</v>
      </c>
      <c r="D693" t="s">
        <v>114</v>
      </c>
      <c r="E693">
        <v>44</v>
      </c>
      <c r="F693" t="s">
        <v>76</v>
      </c>
      <c r="G693" s="10">
        <v>45391</v>
      </c>
      <c r="H693" t="s">
        <v>40</v>
      </c>
      <c r="I693" t="s">
        <v>82</v>
      </c>
      <c r="J693" t="s">
        <v>49</v>
      </c>
      <c r="K693" t="s">
        <v>184</v>
      </c>
      <c r="L693" t="s">
        <v>59</v>
      </c>
      <c r="M693" t="s">
        <v>315</v>
      </c>
      <c r="N693">
        <v>55</v>
      </c>
      <c r="O693" t="s">
        <v>117</v>
      </c>
      <c r="P693" s="11">
        <v>6300</v>
      </c>
      <c r="Q693" t="s">
        <v>70</v>
      </c>
      <c r="R693" s="11">
        <f t="shared" si="20"/>
        <v>6300</v>
      </c>
      <c r="S693" t="str">
        <f t="shared" si="21"/>
        <v>One-Time</v>
      </c>
    </row>
    <row r="694" spans="1:19" ht="15" customHeight="1" x14ac:dyDescent="0.3">
      <c r="A694">
        <v>693</v>
      </c>
      <c r="B694" t="s">
        <v>1057</v>
      </c>
      <c r="C694">
        <v>1811551</v>
      </c>
      <c r="D694" t="s">
        <v>114</v>
      </c>
      <c r="E694">
        <v>40</v>
      </c>
      <c r="F694" t="s">
        <v>76</v>
      </c>
      <c r="G694" s="10">
        <v>45392</v>
      </c>
      <c r="H694" t="s">
        <v>40</v>
      </c>
      <c r="I694" t="s">
        <v>82</v>
      </c>
      <c r="J694" t="s">
        <v>49</v>
      </c>
      <c r="K694" t="s">
        <v>184</v>
      </c>
      <c r="L694" t="s">
        <v>59</v>
      </c>
      <c r="M694" t="s">
        <v>315</v>
      </c>
      <c r="N694">
        <v>5</v>
      </c>
      <c r="O694" t="s">
        <v>117</v>
      </c>
      <c r="P694" s="11">
        <v>6300</v>
      </c>
      <c r="Q694" t="s">
        <v>67</v>
      </c>
      <c r="R694" s="11">
        <f t="shared" si="20"/>
        <v>6300</v>
      </c>
      <c r="S694" t="str">
        <f t="shared" si="21"/>
        <v>One-Time</v>
      </c>
    </row>
    <row r="695" spans="1:19" ht="15" customHeight="1" x14ac:dyDescent="0.3">
      <c r="A695">
        <v>694</v>
      </c>
      <c r="B695" t="s">
        <v>1058</v>
      </c>
      <c r="C695">
        <v>6885401</v>
      </c>
      <c r="D695" t="s">
        <v>114</v>
      </c>
      <c r="E695">
        <v>44</v>
      </c>
      <c r="F695" t="s">
        <v>76</v>
      </c>
      <c r="G695" s="10">
        <v>45393</v>
      </c>
      <c r="H695" t="s">
        <v>40</v>
      </c>
      <c r="I695" t="s">
        <v>82</v>
      </c>
      <c r="J695" t="s">
        <v>49</v>
      </c>
      <c r="K695" t="s">
        <v>184</v>
      </c>
      <c r="L695" t="s">
        <v>59</v>
      </c>
      <c r="M695" t="s">
        <v>315</v>
      </c>
      <c r="N695">
        <v>4</v>
      </c>
      <c r="O695" t="s">
        <v>117</v>
      </c>
      <c r="P695" s="11">
        <v>6300</v>
      </c>
      <c r="Q695" t="s">
        <v>1059</v>
      </c>
      <c r="R695" s="11">
        <f t="shared" si="20"/>
        <v>6300</v>
      </c>
      <c r="S695" t="str">
        <f t="shared" si="21"/>
        <v>Repeat</v>
      </c>
    </row>
    <row r="696" spans="1:19" ht="15" customHeight="1" x14ac:dyDescent="0.3">
      <c r="A696">
        <v>695</v>
      </c>
      <c r="B696" t="s">
        <v>1058</v>
      </c>
      <c r="C696">
        <v>6885401</v>
      </c>
      <c r="D696" t="s">
        <v>114</v>
      </c>
      <c r="E696">
        <v>34</v>
      </c>
      <c r="F696" t="s">
        <v>76</v>
      </c>
      <c r="G696" s="10">
        <v>45394</v>
      </c>
      <c r="H696" t="s">
        <v>40</v>
      </c>
      <c r="I696" t="s">
        <v>82</v>
      </c>
      <c r="J696" t="s">
        <v>49</v>
      </c>
      <c r="K696" t="s">
        <v>184</v>
      </c>
      <c r="L696" t="s">
        <v>59</v>
      </c>
      <c r="M696" t="s">
        <v>315</v>
      </c>
      <c r="N696">
        <v>8</v>
      </c>
      <c r="O696" t="s">
        <v>117</v>
      </c>
      <c r="P696" s="11">
        <v>6300</v>
      </c>
      <c r="Q696" t="s">
        <v>62</v>
      </c>
      <c r="R696" s="11">
        <f t="shared" si="20"/>
        <v>6300</v>
      </c>
      <c r="S696" t="str">
        <f t="shared" si="21"/>
        <v>Repeat</v>
      </c>
    </row>
    <row r="697" spans="1:19" ht="15" customHeight="1" x14ac:dyDescent="0.3">
      <c r="A697">
        <v>696</v>
      </c>
      <c r="B697" t="s">
        <v>1058</v>
      </c>
      <c r="C697">
        <v>6885401</v>
      </c>
      <c r="D697" t="s">
        <v>114</v>
      </c>
      <c r="E697">
        <v>35</v>
      </c>
      <c r="F697" t="s">
        <v>76</v>
      </c>
      <c r="G697" s="10">
        <v>45395</v>
      </c>
      <c r="H697" t="s">
        <v>40</v>
      </c>
      <c r="I697" t="s">
        <v>82</v>
      </c>
      <c r="J697" t="s">
        <v>49</v>
      </c>
      <c r="K697" t="s">
        <v>190</v>
      </c>
      <c r="L697" t="s">
        <v>59</v>
      </c>
      <c r="M697" t="s">
        <v>315</v>
      </c>
      <c r="N697">
        <v>7</v>
      </c>
      <c r="O697" t="s">
        <v>117</v>
      </c>
      <c r="P697" s="11">
        <v>6300</v>
      </c>
      <c r="Q697" t="s">
        <v>1060</v>
      </c>
      <c r="R697" s="11">
        <f t="shared" si="20"/>
        <v>6300</v>
      </c>
      <c r="S697" t="str">
        <f t="shared" si="21"/>
        <v>Repeat</v>
      </c>
    </row>
    <row r="698" spans="1:19" ht="15" customHeight="1" x14ac:dyDescent="0.3">
      <c r="A698">
        <v>697</v>
      </c>
      <c r="B698" t="s">
        <v>1058</v>
      </c>
      <c r="C698">
        <v>6885401</v>
      </c>
      <c r="D698" t="s">
        <v>114</v>
      </c>
      <c r="E698">
        <v>61</v>
      </c>
      <c r="F698" t="s">
        <v>77</v>
      </c>
      <c r="G698" s="10">
        <v>45396</v>
      </c>
      <c r="H698" t="s">
        <v>40</v>
      </c>
      <c r="I698" t="s">
        <v>82</v>
      </c>
      <c r="J698" t="s">
        <v>49</v>
      </c>
      <c r="K698" t="s">
        <v>190</v>
      </c>
      <c r="L698" t="s">
        <v>59</v>
      </c>
      <c r="M698" t="s">
        <v>315</v>
      </c>
      <c r="N698">
        <v>9</v>
      </c>
      <c r="O698" t="s">
        <v>117</v>
      </c>
      <c r="P698" s="11">
        <v>6600</v>
      </c>
      <c r="Q698" t="s">
        <v>67</v>
      </c>
      <c r="R698" s="11">
        <f t="shared" si="20"/>
        <v>6600</v>
      </c>
      <c r="S698" t="str">
        <f t="shared" si="21"/>
        <v>Repeat</v>
      </c>
    </row>
    <row r="699" spans="1:19" ht="15" customHeight="1" x14ac:dyDescent="0.3">
      <c r="A699">
        <v>698</v>
      </c>
      <c r="B699" t="s">
        <v>1061</v>
      </c>
      <c r="C699">
        <v>4554912</v>
      </c>
      <c r="D699" t="s">
        <v>114</v>
      </c>
      <c r="E699">
        <v>23</v>
      </c>
      <c r="F699" t="s">
        <v>75</v>
      </c>
      <c r="G699" s="10">
        <v>45397</v>
      </c>
      <c r="H699" t="s">
        <v>40</v>
      </c>
      <c r="I699" t="s">
        <v>82</v>
      </c>
      <c r="J699" t="s">
        <v>49</v>
      </c>
      <c r="K699" t="s">
        <v>190</v>
      </c>
      <c r="L699" t="s">
        <v>59</v>
      </c>
      <c r="M699" t="s">
        <v>315</v>
      </c>
      <c r="N699">
        <v>3</v>
      </c>
      <c r="O699" t="s">
        <v>117</v>
      </c>
      <c r="P699" s="11">
        <v>6600</v>
      </c>
      <c r="Q699" t="s">
        <v>298</v>
      </c>
      <c r="R699" s="11">
        <f t="shared" si="20"/>
        <v>6600</v>
      </c>
      <c r="S699" t="str">
        <f t="shared" si="21"/>
        <v>One-Time</v>
      </c>
    </row>
    <row r="700" spans="1:19" ht="15" customHeight="1" x14ac:dyDescent="0.3">
      <c r="A700">
        <v>699</v>
      </c>
      <c r="B700" t="s">
        <v>1062</v>
      </c>
      <c r="C700">
        <v>4700451</v>
      </c>
      <c r="D700" t="s">
        <v>114</v>
      </c>
      <c r="E700">
        <v>43</v>
      </c>
      <c r="F700" t="s">
        <v>76</v>
      </c>
      <c r="G700" s="10">
        <v>45398</v>
      </c>
      <c r="H700" t="s">
        <v>40</v>
      </c>
      <c r="I700" t="s">
        <v>82</v>
      </c>
      <c r="J700" t="s">
        <v>49</v>
      </c>
      <c r="K700" t="s">
        <v>190</v>
      </c>
      <c r="L700" t="s">
        <v>59</v>
      </c>
      <c r="M700" t="s">
        <v>315</v>
      </c>
      <c r="N700">
        <v>32</v>
      </c>
      <c r="O700" t="s">
        <v>117</v>
      </c>
      <c r="P700" s="11">
        <v>6600</v>
      </c>
      <c r="Q700" t="s">
        <v>69</v>
      </c>
      <c r="R700" s="11">
        <f t="shared" si="20"/>
        <v>6600</v>
      </c>
      <c r="S700" t="str">
        <f t="shared" si="21"/>
        <v>One-Time</v>
      </c>
    </row>
    <row r="701" spans="1:19" ht="15" customHeight="1" x14ac:dyDescent="0.3">
      <c r="A701">
        <v>700</v>
      </c>
      <c r="B701" t="s">
        <v>1063</v>
      </c>
      <c r="C701">
        <v>9857388</v>
      </c>
      <c r="D701" t="s">
        <v>114</v>
      </c>
      <c r="E701">
        <v>21</v>
      </c>
      <c r="F701" t="s">
        <v>75</v>
      </c>
      <c r="G701" s="10">
        <v>45399</v>
      </c>
      <c r="H701" t="s">
        <v>40</v>
      </c>
      <c r="I701" t="s">
        <v>82</v>
      </c>
      <c r="J701" t="s">
        <v>49</v>
      </c>
      <c r="K701" t="s">
        <v>190</v>
      </c>
      <c r="L701" t="s">
        <v>59</v>
      </c>
      <c r="M701" t="s">
        <v>315</v>
      </c>
      <c r="N701">
        <v>65</v>
      </c>
      <c r="O701" t="s">
        <v>117</v>
      </c>
      <c r="P701" s="11">
        <v>6600</v>
      </c>
      <c r="Q701" t="s">
        <v>66</v>
      </c>
      <c r="R701" s="11">
        <f t="shared" si="20"/>
        <v>6600</v>
      </c>
      <c r="S701" t="str">
        <f t="shared" si="21"/>
        <v>One-Time</v>
      </c>
    </row>
    <row r="702" spans="1:19" ht="15" customHeight="1" x14ac:dyDescent="0.3">
      <c r="A702">
        <v>701</v>
      </c>
      <c r="B702" t="s">
        <v>1064</v>
      </c>
      <c r="C702">
        <v>663102</v>
      </c>
      <c r="D702" t="s">
        <v>114</v>
      </c>
      <c r="E702">
        <v>70</v>
      </c>
      <c r="F702" t="s">
        <v>77</v>
      </c>
      <c r="G702" s="10">
        <v>45400</v>
      </c>
      <c r="H702" t="s">
        <v>40</v>
      </c>
      <c r="I702" t="s">
        <v>82</v>
      </c>
      <c r="J702" t="s">
        <v>49</v>
      </c>
      <c r="K702" t="s">
        <v>190</v>
      </c>
      <c r="L702" t="s">
        <v>59</v>
      </c>
      <c r="M702" t="s">
        <v>116</v>
      </c>
      <c r="N702">
        <v>4</v>
      </c>
      <c r="O702" t="s">
        <v>117</v>
      </c>
      <c r="P702" s="11">
        <v>6500</v>
      </c>
      <c r="Q702" t="s">
        <v>1065</v>
      </c>
      <c r="R702" s="11">
        <f t="shared" si="20"/>
        <v>6500</v>
      </c>
      <c r="S702" t="str">
        <f t="shared" si="21"/>
        <v>One-Time</v>
      </c>
    </row>
    <row r="703" spans="1:19" ht="15" customHeight="1" x14ac:dyDescent="0.3">
      <c r="A703">
        <v>702</v>
      </c>
      <c r="B703" t="s">
        <v>1066</v>
      </c>
      <c r="C703">
        <v>5836547</v>
      </c>
      <c r="D703" t="s">
        <v>114</v>
      </c>
      <c r="E703">
        <v>28</v>
      </c>
      <c r="F703" t="s">
        <v>75</v>
      </c>
      <c r="G703" s="10">
        <v>45401</v>
      </c>
      <c r="H703" t="s">
        <v>40</v>
      </c>
      <c r="I703" t="s">
        <v>82</v>
      </c>
      <c r="J703" t="s">
        <v>49</v>
      </c>
      <c r="K703" t="s">
        <v>190</v>
      </c>
      <c r="L703" t="s">
        <v>59</v>
      </c>
      <c r="M703" t="s">
        <v>116</v>
      </c>
      <c r="N703">
        <v>1</v>
      </c>
      <c r="O703" t="s">
        <v>117</v>
      </c>
      <c r="P703" s="11">
        <v>6500</v>
      </c>
      <c r="Q703" t="s">
        <v>63</v>
      </c>
      <c r="R703" s="11">
        <f t="shared" si="20"/>
        <v>6500</v>
      </c>
      <c r="S703" t="str">
        <f t="shared" si="21"/>
        <v>One-Time</v>
      </c>
    </row>
    <row r="704" spans="1:19" ht="15" customHeight="1" x14ac:dyDescent="0.3">
      <c r="A704">
        <v>703</v>
      </c>
      <c r="B704" t="s">
        <v>1067</v>
      </c>
      <c r="C704">
        <v>289403</v>
      </c>
      <c r="D704" t="s">
        <v>392</v>
      </c>
      <c r="E704">
        <v>47</v>
      </c>
      <c r="F704" t="s">
        <v>76</v>
      </c>
      <c r="G704" s="10">
        <v>45402</v>
      </c>
      <c r="H704" t="s">
        <v>40</v>
      </c>
      <c r="I704" t="s">
        <v>82</v>
      </c>
      <c r="J704" t="s">
        <v>49</v>
      </c>
      <c r="K704" t="s">
        <v>190</v>
      </c>
      <c r="L704" t="s">
        <v>59</v>
      </c>
      <c r="M704" t="s">
        <v>116</v>
      </c>
      <c r="N704">
        <v>47</v>
      </c>
      <c r="O704" t="s">
        <v>117</v>
      </c>
      <c r="P704" s="11">
        <v>6500</v>
      </c>
      <c r="Q704" t="s">
        <v>1068</v>
      </c>
      <c r="R704" s="11">
        <f t="shared" si="20"/>
        <v>6500</v>
      </c>
      <c r="S704" t="str">
        <f t="shared" si="21"/>
        <v>One-Time</v>
      </c>
    </row>
    <row r="705" spans="1:19" ht="15" customHeight="1" x14ac:dyDescent="0.3">
      <c r="A705">
        <v>704</v>
      </c>
      <c r="B705" t="s">
        <v>1069</v>
      </c>
      <c r="C705">
        <v>3997749</v>
      </c>
      <c r="D705" t="s">
        <v>114</v>
      </c>
      <c r="E705">
        <v>43</v>
      </c>
      <c r="F705" t="s">
        <v>76</v>
      </c>
      <c r="G705" s="10">
        <v>45403</v>
      </c>
      <c r="H705" t="s">
        <v>40</v>
      </c>
      <c r="I705" t="s">
        <v>82</v>
      </c>
      <c r="J705" t="s">
        <v>49</v>
      </c>
      <c r="K705" t="s">
        <v>190</v>
      </c>
      <c r="L705" t="s">
        <v>59</v>
      </c>
      <c r="M705" t="s">
        <v>116</v>
      </c>
      <c r="N705">
        <v>9</v>
      </c>
      <c r="O705" t="s">
        <v>117</v>
      </c>
      <c r="P705" s="11">
        <v>6500</v>
      </c>
      <c r="Q705" t="s">
        <v>62</v>
      </c>
      <c r="R705" s="11">
        <f t="shared" si="20"/>
        <v>6500</v>
      </c>
      <c r="S705" t="str">
        <f t="shared" si="21"/>
        <v>One-Time</v>
      </c>
    </row>
    <row r="706" spans="1:19" ht="15" customHeight="1" x14ac:dyDescent="0.3">
      <c r="A706">
        <v>705</v>
      </c>
      <c r="B706" t="s">
        <v>1070</v>
      </c>
      <c r="C706">
        <v>3035696</v>
      </c>
      <c r="D706" t="s">
        <v>392</v>
      </c>
      <c r="E706">
        <v>22</v>
      </c>
      <c r="F706" t="s">
        <v>75</v>
      </c>
      <c r="G706" s="10">
        <v>45404</v>
      </c>
      <c r="H706" t="s">
        <v>40</v>
      </c>
      <c r="I706" t="s">
        <v>82</v>
      </c>
      <c r="J706" t="s">
        <v>49</v>
      </c>
      <c r="K706" t="s">
        <v>190</v>
      </c>
      <c r="L706" t="s">
        <v>59</v>
      </c>
      <c r="M706" t="s">
        <v>116</v>
      </c>
      <c r="N706">
        <v>7</v>
      </c>
      <c r="O706" t="s">
        <v>117</v>
      </c>
      <c r="P706" s="11">
        <v>6500</v>
      </c>
      <c r="Q706" t="s">
        <v>1071</v>
      </c>
      <c r="R706" s="11">
        <f t="shared" ref="R706:R769" si="22">IF(I706="Delivered",P706,0)</f>
        <v>6500</v>
      </c>
      <c r="S706" t="str">
        <f t="shared" ref="S706:S769" si="23">IF(COUNTIF($C$2:$C$1501,C706)&gt;1,"Repeat","One-Time")</f>
        <v>One-Time</v>
      </c>
    </row>
    <row r="707" spans="1:19" ht="15" customHeight="1" x14ac:dyDescent="0.3">
      <c r="A707">
        <v>706</v>
      </c>
      <c r="B707" t="s">
        <v>1072</v>
      </c>
      <c r="C707">
        <v>3958289</v>
      </c>
      <c r="D707" t="s">
        <v>392</v>
      </c>
      <c r="E707">
        <v>73</v>
      </c>
      <c r="F707" t="s">
        <v>77</v>
      </c>
      <c r="G707" s="10">
        <v>45405</v>
      </c>
      <c r="H707" t="s">
        <v>40</v>
      </c>
      <c r="I707" t="s">
        <v>82</v>
      </c>
      <c r="J707" t="s">
        <v>49</v>
      </c>
      <c r="K707" t="s">
        <v>190</v>
      </c>
      <c r="L707" t="s">
        <v>59</v>
      </c>
      <c r="M707" t="s">
        <v>116</v>
      </c>
      <c r="N707">
        <v>6</v>
      </c>
      <c r="O707" t="s">
        <v>117</v>
      </c>
      <c r="P707" s="11">
        <v>6500</v>
      </c>
      <c r="Q707" t="s">
        <v>313</v>
      </c>
      <c r="R707" s="11">
        <f t="shared" si="22"/>
        <v>6500</v>
      </c>
      <c r="S707" t="str">
        <f t="shared" si="23"/>
        <v>One-Time</v>
      </c>
    </row>
    <row r="708" spans="1:19" ht="15" customHeight="1" x14ac:dyDescent="0.3">
      <c r="A708">
        <v>707</v>
      </c>
      <c r="B708" t="s">
        <v>1073</v>
      </c>
      <c r="C708">
        <v>9939687</v>
      </c>
      <c r="D708" t="s">
        <v>114</v>
      </c>
      <c r="E708">
        <v>25</v>
      </c>
      <c r="F708" t="s">
        <v>75</v>
      </c>
      <c r="G708" s="10">
        <v>45406</v>
      </c>
      <c r="H708" t="s">
        <v>40</v>
      </c>
      <c r="I708" t="s">
        <v>82</v>
      </c>
      <c r="J708" t="s">
        <v>49</v>
      </c>
      <c r="K708" t="s">
        <v>190</v>
      </c>
      <c r="L708" t="s">
        <v>59</v>
      </c>
      <c r="M708" t="s">
        <v>116</v>
      </c>
      <c r="N708">
        <v>2</v>
      </c>
      <c r="O708" t="s">
        <v>117</v>
      </c>
      <c r="P708" s="11">
        <v>6500</v>
      </c>
      <c r="Q708" t="s">
        <v>390</v>
      </c>
      <c r="R708" s="11">
        <f t="shared" si="22"/>
        <v>6500</v>
      </c>
      <c r="S708" t="str">
        <f t="shared" si="23"/>
        <v>One-Time</v>
      </c>
    </row>
    <row r="709" spans="1:19" ht="15" customHeight="1" x14ac:dyDescent="0.3">
      <c r="A709">
        <v>708</v>
      </c>
      <c r="B709" t="s">
        <v>1074</v>
      </c>
      <c r="C709">
        <v>742597</v>
      </c>
      <c r="D709" t="s">
        <v>114</v>
      </c>
      <c r="E709">
        <v>35</v>
      </c>
      <c r="F709" t="s">
        <v>76</v>
      </c>
      <c r="G709" s="10">
        <v>45407</v>
      </c>
      <c r="H709" t="s">
        <v>40</v>
      </c>
      <c r="I709" t="s">
        <v>82</v>
      </c>
      <c r="J709" t="s">
        <v>49</v>
      </c>
      <c r="K709" t="s">
        <v>190</v>
      </c>
      <c r="L709" t="s">
        <v>59</v>
      </c>
      <c r="M709" t="s">
        <v>116</v>
      </c>
      <c r="N709">
        <v>8</v>
      </c>
      <c r="O709" t="s">
        <v>117</v>
      </c>
      <c r="P709" s="11">
        <v>7500</v>
      </c>
      <c r="Q709" t="s">
        <v>69</v>
      </c>
      <c r="R709" s="11">
        <f t="shared" si="22"/>
        <v>7500</v>
      </c>
      <c r="S709" t="str">
        <f t="shared" si="23"/>
        <v>One-Time</v>
      </c>
    </row>
    <row r="710" spans="1:19" ht="15" customHeight="1" x14ac:dyDescent="0.3">
      <c r="A710">
        <v>709</v>
      </c>
      <c r="B710" t="s">
        <v>1075</v>
      </c>
      <c r="C710">
        <v>7435000</v>
      </c>
      <c r="D710" t="s">
        <v>114</v>
      </c>
      <c r="E710">
        <v>47</v>
      </c>
      <c r="F710" t="s">
        <v>76</v>
      </c>
      <c r="G710" s="10">
        <v>45408</v>
      </c>
      <c r="H710" t="s">
        <v>40</v>
      </c>
      <c r="I710" t="s">
        <v>82</v>
      </c>
      <c r="J710" t="s">
        <v>49</v>
      </c>
      <c r="K710" t="s">
        <v>190</v>
      </c>
      <c r="L710" t="s">
        <v>59</v>
      </c>
      <c r="M710" t="s">
        <v>116</v>
      </c>
      <c r="N710">
        <v>4</v>
      </c>
      <c r="O710" t="s">
        <v>117</v>
      </c>
      <c r="P710" s="11">
        <v>7500</v>
      </c>
      <c r="Q710" t="s">
        <v>723</v>
      </c>
      <c r="R710" s="11">
        <f t="shared" si="22"/>
        <v>7500</v>
      </c>
      <c r="S710" t="str">
        <f t="shared" si="23"/>
        <v>One-Time</v>
      </c>
    </row>
    <row r="711" spans="1:19" ht="15" customHeight="1" x14ac:dyDescent="0.3">
      <c r="A711">
        <v>710</v>
      </c>
      <c r="B711" t="s">
        <v>1076</v>
      </c>
      <c r="C711">
        <v>9495841</v>
      </c>
      <c r="D711" t="s">
        <v>392</v>
      </c>
      <c r="E711">
        <v>62</v>
      </c>
      <c r="F711" t="s">
        <v>77</v>
      </c>
      <c r="G711" s="10">
        <v>45409</v>
      </c>
      <c r="H711" t="s">
        <v>40</v>
      </c>
      <c r="I711" t="s">
        <v>82</v>
      </c>
      <c r="J711" t="s">
        <v>49</v>
      </c>
      <c r="K711" t="s">
        <v>190</v>
      </c>
      <c r="L711" t="s">
        <v>59</v>
      </c>
      <c r="M711" t="s">
        <v>116</v>
      </c>
      <c r="N711">
        <v>6</v>
      </c>
      <c r="O711" t="s">
        <v>117</v>
      </c>
      <c r="P711" s="11">
        <v>7500</v>
      </c>
      <c r="Q711" t="s">
        <v>1077</v>
      </c>
      <c r="R711" s="11">
        <f t="shared" si="22"/>
        <v>7500</v>
      </c>
      <c r="S711" t="str">
        <f t="shared" si="23"/>
        <v>One-Time</v>
      </c>
    </row>
    <row r="712" spans="1:19" ht="15" customHeight="1" x14ac:dyDescent="0.3">
      <c r="A712">
        <v>711</v>
      </c>
      <c r="B712" t="s">
        <v>1078</v>
      </c>
      <c r="C712">
        <v>9612837</v>
      </c>
      <c r="D712" t="s">
        <v>114</v>
      </c>
      <c r="E712">
        <v>55</v>
      </c>
      <c r="F712" t="s">
        <v>77</v>
      </c>
      <c r="G712" s="10">
        <v>45410</v>
      </c>
      <c r="H712" t="s">
        <v>40</v>
      </c>
      <c r="I712" t="s">
        <v>82</v>
      </c>
      <c r="J712" t="s">
        <v>49</v>
      </c>
      <c r="K712" t="s">
        <v>190</v>
      </c>
      <c r="L712" t="s">
        <v>59</v>
      </c>
      <c r="M712" t="s">
        <v>116</v>
      </c>
      <c r="N712">
        <v>5</v>
      </c>
      <c r="O712" t="s">
        <v>117</v>
      </c>
      <c r="P712" s="11">
        <v>7500</v>
      </c>
      <c r="Q712" t="s">
        <v>749</v>
      </c>
      <c r="R712" s="11">
        <f t="shared" si="22"/>
        <v>7500</v>
      </c>
      <c r="S712" t="str">
        <f t="shared" si="23"/>
        <v>Repeat</v>
      </c>
    </row>
    <row r="713" spans="1:19" ht="15" customHeight="1" x14ac:dyDescent="0.3">
      <c r="A713">
        <v>712</v>
      </c>
      <c r="B713" t="s">
        <v>1078</v>
      </c>
      <c r="C713">
        <v>9612837</v>
      </c>
      <c r="D713" t="s">
        <v>114</v>
      </c>
      <c r="E713">
        <v>31</v>
      </c>
      <c r="F713" t="s">
        <v>76</v>
      </c>
      <c r="G713" s="10">
        <v>45411</v>
      </c>
      <c r="H713" t="s">
        <v>40</v>
      </c>
      <c r="I713" t="s">
        <v>82</v>
      </c>
      <c r="J713" t="s">
        <v>49</v>
      </c>
      <c r="K713" t="s">
        <v>190</v>
      </c>
      <c r="L713" t="s">
        <v>59</v>
      </c>
      <c r="M713" t="s">
        <v>116</v>
      </c>
      <c r="N713">
        <v>23</v>
      </c>
      <c r="O713" t="s">
        <v>117</v>
      </c>
      <c r="P713" s="11">
        <v>7500</v>
      </c>
      <c r="Q713" t="s">
        <v>705</v>
      </c>
      <c r="R713" s="11">
        <f t="shared" si="22"/>
        <v>7500</v>
      </c>
      <c r="S713" t="str">
        <f t="shared" si="23"/>
        <v>Repeat</v>
      </c>
    </row>
    <row r="714" spans="1:19" ht="15" customHeight="1" x14ac:dyDescent="0.3">
      <c r="A714">
        <v>713</v>
      </c>
      <c r="B714" t="s">
        <v>1079</v>
      </c>
      <c r="C714">
        <v>2001002</v>
      </c>
      <c r="D714" t="s">
        <v>114</v>
      </c>
      <c r="E714">
        <v>48</v>
      </c>
      <c r="F714" t="s">
        <v>76</v>
      </c>
      <c r="G714" s="10">
        <v>45412</v>
      </c>
      <c r="H714" t="s">
        <v>40</v>
      </c>
      <c r="I714" t="s">
        <v>82</v>
      </c>
      <c r="J714" t="s">
        <v>49</v>
      </c>
      <c r="K714" t="s">
        <v>190</v>
      </c>
      <c r="L714" t="s">
        <v>59</v>
      </c>
      <c r="M714" t="s">
        <v>122</v>
      </c>
      <c r="N714">
        <v>2</v>
      </c>
      <c r="O714" t="s">
        <v>117</v>
      </c>
      <c r="P714" s="11">
        <v>7500</v>
      </c>
      <c r="Q714" t="s">
        <v>655</v>
      </c>
      <c r="R714" s="11">
        <f t="shared" si="22"/>
        <v>7500</v>
      </c>
      <c r="S714" t="str">
        <f t="shared" si="23"/>
        <v>One-Time</v>
      </c>
    </row>
    <row r="715" spans="1:19" ht="15" customHeight="1" x14ac:dyDescent="0.3">
      <c r="A715">
        <v>714</v>
      </c>
      <c r="B715" t="s">
        <v>1080</v>
      </c>
      <c r="C715">
        <v>9992014</v>
      </c>
      <c r="D715" t="s">
        <v>392</v>
      </c>
      <c r="E715">
        <v>52</v>
      </c>
      <c r="F715" t="s">
        <v>77</v>
      </c>
      <c r="G715" s="10">
        <v>45413</v>
      </c>
      <c r="H715" t="s">
        <v>41</v>
      </c>
      <c r="I715" t="s">
        <v>82</v>
      </c>
      <c r="J715" t="s">
        <v>49</v>
      </c>
      <c r="K715" t="s">
        <v>184</v>
      </c>
      <c r="L715" t="s">
        <v>59</v>
      </c>
      <c r="M715" t="s">
        <v>122</v>
      </c>
      <c r="N715">
        <v>5</v>
      </c>
      <c r="O715" t="s">
        <v>117</v>
      </c>
      <c r="P715" s="11">
        <v>7500</v>
      </c>
      <c r="Q715" t="s">
        <v>265</v>
      </c>
      <c r="R715" s="11">
        <f t="shared" si="22"/>
        <v>7500</v>
      </c>
      <c r="S715" t="str">
        <f t="shared" si="23"/>
        <v>One-Time</v>
      </c>
    </row>
    <row r="716" spans="1:19" ht="15" customHeight="1" x14ac:dyDescent="0.3">
      <c r="A716">
        <v>715</v>
      </c>
      <c r="B716" t="s">
        <v>1081</v>
      </c>
      <c r="C716">
        <v>2298965</v>
      </c>
      <c r="D716" t="s">
        <v>392</v>
      </c>
      <c r="E716">
        <v>42</v>
      </c>
      <c r="F716" t="s">
        <v>76</v>
      </c>
      <c r="G716" s="10">
        <v>45414</v>
      </c>
      <c r="H716" t="s">
        <v>41</v>
      </c>
      <c r="I716" t="s">
        <v>82</v>
      </c>
      <c r="J716" t="s">
        <v>49</v>
      </c>
      <c r="K716" t="s">
        <v>184</v>
      </c>
      <c r="L716" t="s">
        <v>59</v>
      </c>
      <c r="M716" t="s">
        <v>122</v>
      </c>
      <c r="N716">
        <v>9</v>
      </c>
      <c r="O716" t="s">
        <v>117</v>
      </c>
      <c r="P716" s="11">
        <v>7500</v>
      </c>
      <c r="Q716" t="s">
        <v>66</v>
      </c>
      <c r="R716" s="11">
        <f t="shared" si="22"/>
        <v>7500</v>
      </c>
      <c r="S716" t="str">
        <f t="shared" si="23"/>
        <v>One-Time</v>
      </c>
    </row>
    <row r="717" spans="1:19" ht="15" customHeight="1" x14ac:dyDescent="0.3">
      <c r="A717">
        <v>716</v>
      </c>
      <c r="B717" t="s">
        <v>1082</v>
      </c>
      <c r="C717">
        <v>6229533</v>
      </c>
      <c r="D717" t="s">
        <v>392</v>
      </c>
      <c r="E717">
        <v>26</v>
      </c>
      <c r="F717" t="s">
        <v>75</v>
      </c>
      <c r="G717" s="10">
        <v>45415</v>
      </c>
      <c r="H717" t="s">
        <v>41</v>
      </c>
      <c r="I717" t="s">
        <v>82</v>
      </c>
      <c r="J717" t="s">
        <v>49</v>
      </c>
      <c r="K717" t="s">
        <v>184</v>
      </c>
      <c r="L717" t="s">
        <v>59</v>
      </c>
      <c r="M717" t="s">
        <v>122</v>
      </c>
      <c r="N717">
        <v>27</v>
      </c>
      <c r="O717" t="s">
        <v>117</v>
      </c>
      <c r="P717" s="11">
        <v>5800</v>
      </c>
      <c r="Q717" t="s">
        <v>65</v>
      </c>
      <c r="R717" s="11">
        <f t="shared" si="22"/>
        <v>5800</v>
      </c>
      <c r="S717" t="str">
        <f t="shared" si="23"/>
        <v>One-Time</v>
      </c>
    </row>
    <row r="718" spans="1:19" ht="15" customHeight="1" x14ac:dyDescent="0.3">
      <c r="A718">
        <v>717</v>
      </c>
      <c r="B718" t="s">
        <v>1083</v>
      </c>
      <c r="C718">
        <v>9396326</v>
      </c>
      <c r="D718" t="s">
        <v>392</v>
      </c>
      <c r="E718">
        <v>18</v>
      </c>
      <c r="F718" t="s">
        <v>75</v>
      </c>
      <c r="G718" s="10">
        <v>45416</v>
      </c>
      <c r="H718" t="s">
        <v>41</v>
      </c>
      <c r="I718" t="s">
        <v>82</v>
      </c>
      <c r="J718" t="s">
        <v>49</v>
      </c>
      <c r="K718" t="s">
        <v>184</v>
      </c>
      <c r="L718" t="s">
        <v>59</v>
      </c>
      <c r="M718" t="s">
        <v>122</v>
      </c>
      <c r="N718">
        <v>6</v>
      </c>
      <c r="O718" t="s">
        <v>117</v>
      </c>
      <c r="P718" s="11">
        <v>5800</v>
      </c>
      <c r="Q718" t="s">
        <v>696</v>
      </c>
      <c r="R718" s="11">
        <f t="shared" si="22"/>
        <v>5800</v>
      </c>
      <c r="S718" t="str">
        <f t="shared" si="23"/>
        <v>One-Time</v>
      </c>
    </row>
    <row r="719" spans="1:19" ht="15" customHeight="1" x14ac:dyDescent="0.3">
      <c r="A719">
        <v>718</v>
      </c>
      <c r="B719" t="s">
        <v>1084</v>
      </c>
      <c r="C719">
        <v>9923260</v>
      </c>
      <c r="D719" t="s">
        <v>392</v>
      </c>
      <c r="E719">
        <v>56</v>
      </c>
      <c r="F719" t="s">
        <v>77</v>
      </c>
      <c r="G719" s="10">
        <v>45417</v>
      </c>
      <c r="H719" t="s">
        <v>41</v>
      </c>
      <c r="I719" t="s">
        <v>84</v>
      </c>
      <c r="J719" t="s">
        <v>49</v>
      </c>
      <c r="K719" t="s">
        <v>184</v>
      </c>
      <c r="L719" t="s">
        <v>59</v>
      </c>
      <c r="M719" t="s">
        <v>122</v>
      </c>
      <c r="N719">
        <v>6</v>
      </c>
      <c r="O719" t="s">
        <v>117</v>
      </c>
      <c r="P719" s="11">
        <v>5800</v>
      </c>
      <c r="Q719" t="s">
        <v>62</v>
      </c>
      <c r="R719" s="11">
        <f t="shared" si="22"/>
        <v>0</v>
      </c>
      <c r="S719" t="str">
        <f t="shared" si="23"/>
        <v>One-Time</v>
      </c>
    </row>
    <row r="720" spans="1:19" ht="15" customHeight="1" x14ac:dyDescent="0.3">
      <c r="A720">
        <v>719</v>
      </c>
      <c r="B720" t="s">
        <v>1085</v>
      </c>
      <c r="C720">
        <v>3220216</v>
      </c>
      <c r="D720" t="s">
        <v>114</v>
      </c>
      <c r="E720">
        <v>74</v>
      </c>
      <c r="F720" t="s">
        <v>77</v>
      </c>
      <c r="G720" s="10">
        <v>45418</v>
      </c>
      <c r="H720" t="s">
        <v>41</v>
      </c>
      <c r="I720" t="s">
        <v>82</v>
      </c>
      <c r="J720" t="s">
        <v>49</v>
      </c>
      <c r="K720" t="s">
        <v>184</v>
      </c>
      <c r="L720" t="s">
        <v>59</v>
      </c>
      <c r="M720" t="s">
        <v>122</v>
      </c>
      <c r="N720">
        <v>2</v>
      </c>
      <c r="O720" t="s">
        <v>117</v>
      </c>
      <c r="P720" s="11">
        <v>5800</v>
      </c>
      <c r="Q720" t="s">
        <v>68</v>
      </c>
      <c r="R720" s="11">
        <f t="shared" si="22"/>
        <v>5800</v>
      </c>
      <c r="S720" t="str">
        <f t="shared" si="23"/>
        <v>One-Time</v>
      </c>
    </row>
    <row r="721" spans="1:19" ht="15" customHeight="1" x14ac:dyDescent="0.3">
      <c r="A721">
        <v>720</v>
      </c>
      <c r="B721" t="s">
        <v>1086</v>
      </c>
      <c r="C721">
        <v>9096009</v>
      </c>
      <c r="D721" t="s">
        <v>114</v>
      </c>
      <c r="E721">
        <v>37</v>
      </c>
      <c r="F721" t="s">
        <v>76</v>
      </c>
      <c r="G721" s="10">
        <v>45419</v>
      </c>
      <c r="H721" t="s">
        <v>41</v>
      </c>
      <c r="I721" t="s">
        <v>85</v>
      </c>
      <c r="J721" t="s">
        <v>49</v>
      </c>
      <c r="K721" t="s">
        <v>184</v>
      </c>
      <c r="L721" t="s">
        <v>59</v>
      </c>
      <c r="M721" t="s">
        <v>122</v>
      </c>
      <c r="N721">
        <v>32</v>
      </c>
      <c r="O721" t="s">
        <v>117</v>
      </c>
      <c r="P721" s="11">
        <v>5800</v>
      </c>
      <c r="Q721" t="s">
        <v>1087</v>
      </c>
      <c r="R721" s="11">
        <f t="shared" si="22"/>
        <v>0</v>
      </c>
      <c r="S721" t="str">
        <f t="shared" si="23"/>
        <v>One-Time</v>
      </c>
    </row>
    <row r="722" spans="1:19" ht="15" customHeight="1" x14ac:dyDescent="0.3">
      <c r="A722">
        <v>721</v>
      </c>
      <c r="B722" t="s">
        <v>1088</v>
      </c>
      <c r="C722">
        <v>1123100</v>
      </c>
      <c r="D722" t="s">
        <v>114</v>
      </c>
      <c r="E722">
        <v>31</v>
      </c>
      <c r="F722" t="s">
        <v>76</v>
      </c>
      <c r="G722" s="10">
        <v>45420</v>
      </c>
      <c r="H722" t="s">
        <v>41</v>
      </c>
      <c r="I722" t="s">
        <v>82</v>
      </c>
      <c r="J722" t="s">
        <v>49</v>
      </c>
      <c r="K722" t="s">
        <v>184</v>
      </c>
      <c r="L722" t="s">
        <v>59</v>
      </c>
      <c r="M722" t="s">
        <v>122</v>
      </c>
      <c r="N722">
        <v>3</v>
      </c>
      <c r="O722" t="s">
        <v>117</v>
      </c>
      <c r="P722" s="11">
        <v>5800</v>
      </c>
      <c r="Q722" t="s">
        <v>70</v>
      </c>
      <c r="R722" s="11">
        <f t="shared" si="22"/>
        <v>5800</v>
      </c>
      <c r="S722" t="str">
        <f t="shared" si="23"/>
        <v>One-Time</v>
      </c>
    </row>
    <row r="723" spans="1:19" ht="15" customHeight="1" x14ac:dyDescent="0.3">
      <c r="A723">
        <v>722</v>
      </c>
      <c r="B723" t="s">
        <v>1089</v>
      </c>
      <c r="C723">
        <v>6297503</v>
      </c>
      <c r="D723" t="s">
        <v>114</v>
      </c>
      <c r="E723">
        <v>22</v>
      </c>
      <c r="F723" t="s">
        <v>75</v>
      </c>
      <c r="G723" s="10">
        <v>45421</v>
      </c>
      <c r="H723" t="s">
        <v>41</v>
      </c>
      <c r="I723" t="s">
        <v>82</v>
      </c>
      <c r="J723" t="s">
        <v>52</v>
      </c>
      <c r="K723" t="s">
        <v>184</v>
      </c>
      <c r="L723" t="s">
        <v>59</v>
      </c>
      <c r="M723" t="s">
        <v>122</v>
      </c>
      <c r="N723">
        <v>48</v>
      </c>
      <c r="O723" t="s">
        <v>117</v>
      </c>
      <c r="P723" s="11">
        <v>5500</v>
      </c>
      <c r="Q723" t="s">
        <v>63</v>
      </c>
      <c r="R723" s="11">
        <f t="shared" si="22"/>
        <v>5500</v>
      </c>
      <c r="S723" t="str">
        <f t="shared" si="23"/>
        <v>One-Time</v>
      </c>
    </row>
    <row r="724" spans="1:19" ht="15" customHeight="1" x14ac:dyDescent="0.3">
      <c r="A724">
        <v>723</v>
      </c>
      <c r="B724" t="s">
        <v>1090</v>
      </c>
      <c r="C724">
        <v>6558831</v>
      </c>
      <c r="D724" t="s">
        <v>114</v>
      </c>
      <c r="E724">
        <v>31</v>
      </c>
      <c r="F724" t="s">
        <v>76</v>
      </c>
      <c r="G724" s="10">
        <v>45422</v>
      </c>
      <c r="H724" t="s">
        <v>41</v>
      </c>
      <c r="I724" t="s">
        <v>82</v>
      </c>
      <c r="J724" t="s">
        <v>52</v>
      </c>
      <c r="K724" t="s">
        <v>184</v>
      </c>
      <c r="L724" t="s">
        <v>59</v>
      </c>
      <c r="M724" t="s">
        <v>122</v>
      </c>
      <c r="N724">
        <v>5</v>
      </c>
      <c r="O724" t="s">
        <v>117</v>
      </c>
      <c r="P724" s="11">
        <v>5500</v>
      </c>
      <c r="Q724" t="s">
        <v>71</v>
      </c>
      <c r="R724" s="11">
        <f t="shared" si="22"/>
        <v>5500</v>
      </c>
      <c r="S724" t="str">
        <f t="shared" si="23"/>
        <v>One-Time</v>
      </c>
    </row>
    <row r="725" spans="1:19" ht="15" customHeight="1" x14ac:dyDescent="0.3">
      <c r="A725">
        <v>724</v>
      </c>
      <c r="B725" t="s">
        <v>1091</v>
      </c>
      <c r="C725">
        <v>8089991</v>
      </c>
      <c r="D725" t="s">
        <v>114</v>
      </c>
      <c r="E725">
        <v>28</v>
      </c>
      <c r="F725" t="s">
        <v>75</v>
      </c>
      <c r="G725" s="10">
        <v>45423</v>
      </c>
      <c r="H725" t="s">
        <v>41</v>
      </c>
      <c r="I725" t="s">
        <v>82</v>
      </c>
      <c r="J725" t="s">
        <v>52</v>
      </c>
      <c r="K725" t="s">
        <v>184</v>
      </c>
      <c r="L725" t="s">
        <v>59</v>
      </c>
      <c r="M725" t="s">
        <v>122</v>
      </c>
      <c r="N725">
        <v>2</v>
      </c>
      <c r="O725" t="s">
        <v>117</v>
      </c>
      <c r="P725" s="11">
        <v>5500</v>
      </c>
      <c r="Q725" t="s">
        <v>223</v>
      </c>
      <c r="R725" s="11">
        <f t="shared" si="22"/>
        <v>5500</v>
      </c>
      <c r="S725" t="str">
        <f t="shared" si="23"/>
        <v>One-Time</v>
      </c>
    </row>
    <row r="726" spans="1:19" ht="15" customHeight="1" x14ac:dyDescent="0.3">
      <c r="A726">
        <v>725</v>
      </c>
      <c r="B726" t="s">
        <v>1092</v>
      </c>
      <c r="C726">
        <v>812377</v>
      </c>
      <c r="D726" t="s">
        <v>114</v>
      </c>
      <c r="E726">
        <v>64</v>
      </c>
      <c r="F726" t="s">
        <v>77</v>
      </c>
      <c r="G726" s="10">
        <v>45424</v>
      </c>
      <c r="H726" t="s">
        <v>41</v>
      </c>
      <c r="I726" t="s">
        <v>82</v>
      </c>
      <c r="J726" t="s">
        <v>52</v>
      </c>
      <c r="K726" t="s">
        <v>184</v>
      </c>
      <c r="L726" t="s">
        <v>59</v>
      </c>
      <c r="M726" t="s">
        <v>122</v>
      </c>
      <c r="N726">
        <v>9</v>
      </c>
      <c r="O726" t="s">
        <v>117</v>
      </c>
      <c r="P726" s="11">
        <v>5500</v>
      </c>
      <c r="Q726" t="s">
        <v>1093</v>
      </c>
      <c r="R726" s="11">
        <f t="shared" si="22"/>
        <v>5500</v>
      </c>
      <c r="S726" t="str">
        <f t="shared" si="23"/>
        <v>One-Time</v>
      </c>
    </row>
    <row r="727" spans="1:19" ht="15" customHeight="1" x14ac:dyDescent="0.3">
      <c r="A727">
        <v>726</v>
      </c>
      <c r="B727" t="s">
        <v>1094</v>
      </c>
      <c r="C727">
        <v>5421512</v>
      </c>
      <c r="D727" t="s">
        <v>114</v>
      </c>
      <c r="E727">
        <v>39</v>
      </c>
      <c r="F727" t="s">
        <v>76</v>
      </c>
      <c r="G727" s="10">
        <v>45425</v>
      </c>
      <c r="H727" t="s">
        <v>41</v>
      </c>
      <c r="I727" t="s">
        <v>82</v>
      </c>
      <c r="J727" t="s">
        <v>52</v>
      </c>
      <c r="K727" t="s">
        <v>184</v>
      </c>
      <c r="L727" t="s">
        <v>59</v>
      </c>
      <c r="M727" t="s">
        <v>122</v>
      </c>
      <c r="N727">
        <v>7</v>
      </c>
      <c r="O727" t="s">
        <v>117</v>
      </c>
      <c r="P727" s="11">
        <v>5500</v>
      </c>
      <c r="Q727" t="s">
        <v>64</v>
      </c>
      <c r="R727" s="11">
        <f t="shared" si="22"/>
        <v>5500</v>
      </c>
      <c r="S727" t="str">
        <f t="shared" si="23"/>
        <v>One-Time</v>
      </c>
    </row>
    <row r="728" spans="1:19" ht="15" customHeight="1" x14ac:dyDescent="0.3">
      <c r="A728">
        <v>727</v>
      </c>
      <c r="B728" t="s">
        <v>1095</v>
      </c>
      <c r="C728">
        <v>1249390</v>
      </c>
      <c r="D728" t="s">
        <v>114</v>
      </c>
      <c r="E728">
        <v>78</v>
      </c>
      <c r="F728" t="s">
        <v>77</v>
      </c>
      <c r="G728" s="10">
        <v>45426</v>
      </c>
      <c r="H728" t="s">
        <v>41</v>
      </c>
      <c r="I728" t="s">
        <v>82</v>
      </c>
      <c r="J728" t="s">
        <v>52</v>
      </c>
      <c r="K728" t="s">
        <v>173</v>
      </c>
      <c r="L728" t="s">
        <v>59</v>
      </c>
      <c r="M728" t="s">
        <v>122</v>
      </c>
      <c r="N728">
        <v>2</v>
      </c>
      <c r="O728" t="s">
        <v>117</v>
      </c>
      <c r="P728" s="11">
        <v>6000</v>
      </c>
      <c r="Q728" t="s">
        <v>64</v>
      </c>
      <c r="R728" s="11">
        <f t="shared" si="22"/>
        <v>6000</v>
      </c>
      <c r="S728" t="str">
        <f t="shared" si="23"/>
        <v>One-Time</v>
      </c>
    </row>
    <row r="729" spans="1:19" ht="15" customHeight="1" x14ac:dyDescent="0.3">
      <c r="A729">
        <v>728</v>
      </c>
      <c r="B729" t="s">
        <v>1096</v>
      </c>
      <c r="C729">
        <v>2502357</v>
      </c>
      <c r="D729" t="s">
        <v>114</v>
      </c>
      <c r="E729">
        <v>25</v>
      </c>
      <c r="F729" t="s">
        <v>75</v>
      </c>
      <c r="G729" s="10">
        <v>45427</v>
      </c>
      <c r="H729" t="s">
        <v>41</v>
      </c>
      <c r="I729" t="s">
        <v>82</v>
      </c>
      <c r="J729" t="s">
        <v>52</v>
      </c>
      <c r="K729" t="s">
        <v>144</v>
      </c>
      <c r="L729" t="s">
        <v>59</v>
      </c>
      <c r="M729" t="s">
        <v>122</v>
      </c>
      <c r="N729">
        <v>8</v>
      </c>
      <c r="O729" t="s">
        <v>117</v>
      </c>
      <c r="P729" s="11">
        <v>6000</v>
      </c>
      <c r="Q729" t="s">
        <v>1097</v>
      </c>
      <c r="R729" s="11">
        <f t="shared" si="22"/>
        <v>6000</v>
      </c>
      <c r="S729" t="str">
        <f t="shared" si="23"/>
        <v>Repeat</v>
      </c>
    </row>
    <row r="730" spans="1:19" ht="15" customHeight="1" x14ac:dyDescent="0.3">
      <c r="A730">
        <v>729</v>
      </c>
      <c r="B730" t="s">
        <v>1096</v>
      </c>
      <c r="C730">
        <v>2502357</v>
      </c>
      <c r="D730" t="s">
        <v>114</v>
      </c>
      <c r="E730">
        <v>33</v>
      </c>
      <c r="F730" t="s">
        <v>76</v>
      </c>
      <c r="G730" s="10">
        <v>45428</v>
      </c>
      <c r="H730" t="s">
        <v>41</v>
      </c>
      <c r="I730" t="s">
        <v>82</v>
      </c>
      <c r="J730" t="s">
        <v>52</v>
      </c>
      <c r="K730" t="s">
        <v>144</v>
      </c>
      <c r="L730" t="s">
        <v>59</v>
      </c>
      <c r="M730" t="s">
        <v>122</v>
      </c>
      <c r="N730">
        <v>4</v>
      </c>
      <c r="O730" t="s">
        <v>117</v>
      </c>
      <c r="P730" s="11">
        <v>6000</v>
      </c>
      <c r="Q730" t="s">
        <v>1098</v>
      </c>
      <c r="R730" s="11">
        <f t="shared" si="22"/>
        <v>6000</v>
      </c>
      <c r="S730" t="str">
        <f t="shared" si="23"/>
        <v>Repeat</v>
      </c>
    </row>
    <row r="731" spans="1:19" ht="15" customHeight="1" x14ac:dyDescent="0.3">
      <c r="A731">
        <v>730</v>
      </c>
      <c r="B731" t="s">
        <v>1099</v>
      </c>
      <c r="C731">
        <v>1922681</v>
      </c>
      <c r="D731" t="s">
        <v>114</v>
      </c>
      <c r="E731">
        <v>75</v>
      </c>
      <c r="F731" t="s">
        <v>77</v>
      </c>
      <c r="G731" s="10">
        <v>45429</v>
      </c>
      <c r="H731" t="s">
        <v>41</v>
      </c>
      <c r="I731" t="s">
        <v>82</v>
      </c>
      <c r="J731" t="s">
        <v>52</v>
      </c>
      <c r="K731" t="s">
        <v>144</v>
      </c>
      <c r="L731" t="s">
        <v>59</v>
      </c>
      <c r="M731" t="s">
        <v>122</v>
      </c>
      <c r="N731">
        <v>5</v>
      </c>
      <c r="O731" t="s">
        <v>117</v>
      </c>
      <c r="P731" s="11">
        <v>6000</v>
      </c>
      <c r="Q731" t="s">
        <v>1100</v>
      </c>
      <c r="R731" s="11">
        <f t="shared" si="22"/>
        <v>6000</v>
      </c>
      <c r="S731" t="str">
        <f t="shared" si="23"/>
        <v>Repeat</v>
      </c>
    </row>
    <row r="732" spans="1:19" ht="15" customHeight="1" x14ac:dyDescent="0.3">
      <c r="A732">
        <v>731</v>
      </c>
      <c r="B732" t="s">
        <v>1099</v>
      </c>
      <c r="C732">
        <v>1922681</v>
      </c>
      <c r="D732" t="s">
        <v>114</v>
      </c>
      <c r="E732">
        <v>24</v>
      </c>
      <c r="F732" t="s">
        <v>75</v>
      </c>
      <c r="G732" s="10">
        <v>45430</v>
      </c>
      <c r="H732" t="s">
        <v>41</v>
      </c>
      <c r="I732" t="s">
        <v>82</v>
      </c>
      <c r="J732" t="s">
        <v>52</v>
      </c>
      <c r="K732" t="s">
        <v>144</v>
      </c>
      <c r="L732" t="s">
        <v>60</v>
      </c>
      <c r="M732" t="s">
        <v>122</v>
      </c>
      <c r="N732">
        <v>6</v>
      </c>
      <c r="O732" t="s">
        <v>117</v>
      </c>
      <c r="P732" s="11">
        <v>6000</v>
      </c>
      <c r="Q732" t="s">
        <v>62</v>
      </c>
      <c r="R732" s="11">
        <f t="shared" si="22"/>
        <v>6000</v>
      </c>
      <c r="S732" t="str">
        <f t="shared" si="23"/>
        <v>Repeat</v>
      </c>
    </row>
    <row r="733" spans="1:19" ht="15" customHeight="1" x14ac:dyDescent="0.3">
      <c r="A733">
        <v>732</v>
      </c>
      <c r="B733" t="s">
        <v>1101</v>
      </c>
      <c r="C733">
        <v>8366587</v>
      </c>
      <c r="D733" t="s">
        <v>114</v>
      </c>
      <c r="E733">
        <v>21</v>
      </c>
      <c r="F733" t="s">
        <v>75</v>
      </c>
      <c r="G733" s="10">
        <v>45431</v>
      </c>
      <c r="H733" t="s">
        <v>41</v>
      </c>
      <c r="I733" t="s">
        <v>82</v>
      </c>
      <c r="J733" t="s">
        <v>52</v>
      </c>
      <c r="K733" t="s">
        <v>144</v>
      </c>
      <c r="L733" t="s">
        <v>60</v>
      </c>
      <c r="M733" t="s">
        <v>122</v>
      </c>
      <c r="N733">
        <v>31</v>
      </c>
      <c r="O733" t="s">
        <v>117</v>
      </c>
      <c r="P733" s="11">
        <v>6000</v>
      </c>
      <c r="Q733" t="s">
        <v>1102</v>
      </c>
      <c r="R733" s="11">
        <f t="shared" si="22"/>
        <v>6000</v>
      </c>
      <c r="S733" t="str">
        <f t="shared" si="23"/>
        <v>One-Time</v>
      </c>
    </row>
    <row r="734" spans="1:19" ht="15" customHeight="1" x14ac:dyDescent="0.3">
      <c r="A734">
        <v>733</v>
      </c>
      <c r="B734" t="s">
        <v>1103</v>
      </c>
      <c r="C734">
        <v>8607134</v>
      </c>
      <c r="D734" t="s">
        <v>114</v>
      </c>
      <c r="E734">
        <v>31</v>
      </c>
      <c r="F734" t="s">
        <v>76</v>
      </c>
      <c r="G734" s="10">
        <v>45432</v>
      </c>
      <c r="H734" t="s">
        <v>41</v>
      </c>
      <c r="I734" t="s">
        <v>85</v>
      </c>
      <c r="J734" t="s">
        <v>52</v>
      </c>
      <c r="K734" t="s">
        <v>144</v>
      </c>
      <c r="L734" t="s">
        <v>60</v>
      </c>
      <c r="M734" t="s">
        <v>122</v>
      </c>
      <c r="N734">
        <v>2</v>
      </c>
      <c r="O734" t="s">
        <v>117</v>
      </c>
      <c r="P734" s="11">
        <v>6000</v>
      </c>
      <c r="Q734" t="s">
        <v>298</v>
      </c>
      <c r="R734" s="11">
        <f t="shared" si="22"/>
        <v>0</v>
      </c>
      <c r="S734" t="str">
        <f t="shared" si="23"/>
        <v>One-Time</v>
      </c>
    </row>
    <row r="735" spans="1:19" ht="15" customHeight="1" x14ac:dyDescent="0.3">
      <c r="A735">
        <v>734</v>
      </c>
      <c r="B735" t="s">
        <v>1104</v>
      </c>
      <c r="C735">
        <v>227495</v>
      </c>
      <c r="D735" t="s">
        <v>114</v>
      </c>
      <c r="E735">
        <v>32</v>
      </c>
      <c r="F735" t="s">
        <v>76</v>
      </c>
      <c r="G735" s="10">
        <v>45433</v>
      </c>
      <c r="H735" t="s">
        <v>41</v>
      </c>
      <c r="I735" t="s">
        <v>82</v>
      </c>
      <c r="J735" t="s">
        <v>52</v>
      </c>
      <c r="K735" t="s">
        <v>144</v>
      </c>
      <c r="L735" t="s">
        <v>60</v>
      </c>
      <c r="M735" t="s">
        <v>122</v>
      </c>
      <c r="N735">
        <v>5</v>
      </c>
      <c r="O735" t="s">
        <v>117</v>
      </c>
      <c r="P735" s="11">
        <v>6000</v>
      </c>
      <c r="Q735" t="s">
        <v>1105</v>
      </c>
      <c r="R735" s="11">
        <f t="shared" si="22"/>
        <v>6000</v>
      </c>
      <c r="S735" t="str">
        <f t="shared" si="23"/>
        <v>One-Time</v>
      </c>
    </row>
    <row r="736" spans="1:19" ht="15" customHeight="1" x14ac:dyDescent="0.3">
      <c r="A736">
        <v>735</v>
      </c>
      <c r="B736" t="s">
        <v>1106</v>
      </c>
      <c r="C736">
        <v>103011</v>
      </c>
      <c r="D736" t="s">
        <v>114</v>
      </c>
      <c r="E736">
        <v>65</v>
      </c>
      <c r="F736" t="s">
        <v>77</v>
      </c>
      <c r="G736" s="10">
        <v>45434</v>
      </c>
      <c r="H736" t="s">
        <v>41</v>
      </c>
      <c r="I736" t="s">
        <v>82</v>
      </c>
      <c r="J736" t="s">
        <v>52</v>
      </c>
      <c r="K736" t="s">
        <v>144</v>
      </c>
      <c r="L736" t="s">
        <v>60</v>
      </c>
      <c r="M736" t="s">
        <v>122</v>
      </c>
      <c r="N736">
        <v>5</v>
      </c>
      <c r="O736" t="s">
        <v>117</v>
      </c>
      <c r="P736" s="11">
        <v>6000</v>
      </c>
      <c r="Q736" t="s">
        <v>1107</v>
      </c>
      <c r="R736" s="11">
        <f t="shared" si="22"/>
        <v>6000</v>
      </c>
      <c r="S736" t="str">
        <f t="shared" si="23"/>
        <v>One-Time</v>
      </c>
    </row>
    <row r="737" spans="1:19" ht="15" customHeight="1" x14ac:dyDescent="0.3">
      <c r="A737">
        <v>736</v>
      </c>
      <c r="B737" t="s">
        <v>1108</v>
      </c>
      <c r="C737">
        <v>2795018</v>
      </c>
      <c r="D737" t="s">
        <v>114</v>
      </c>
      <c r="E737">
        <v>38</v>
      </c>
      <c r="F737" t="s">
        <v>76</v>
      </c>
      <c r="G737" s="10">
        <v>45435</v>
      </c>
      <c r="H737" t="s">
        <v>41</v>
      </c>
      <c r="I737" t="s">
        <v>82</v>
      </c>
      <c r="J737" t="s">
        <v>52</v>
      </c>
      <c r="K737" t="s">
        <v>144</v>
      </c>
      <c r="L737" t="s">
        <v>60</v>
      </c>
      <c r="M737" t="s">
        <v>122</v>
      </c>
      <c r="N737">
        <v>8</v>
      </c>
      <c r="O737" t="s">
        <v>117</v>
      </c>
      <c r="P737" s="11">
        <v>6000</v>
      </c>
      <c r="Q737" t="s">
        <v>62</v>
      </c>
      <c r="R737" s="11">
        <f t="shared" si="22"/>
        <v>6000</v>
      </c>
      <c r="S737" t="str">
        <f t="shared" si="23"/>
        <v>One-Time</v>
      </c>
    </row>
    <row r="738" spans="1:19" ht="15" customHeight="1" x14ac:dyDescent="0.3">
      <c r="A738">
        <v>737</v>
      </c>
      <c r="B738" t="s">
        <v>1109</v>
      </c>
      <c r="C738">
        <v>6445472</v>
      </c>
      <c r="D738" t="s">
        <v>114</v>
      </c>
      <c r="E738">
        <v>39</v>
      </c>
      <c r="F738" t="s">
        <v>76</v>
      </c>
      <c r="G738" s="10">
        <v>45436</v>
      </c>
      <c r="H738" t="s">
        <v>41</v>
      </c>
      <c r="I738" t="s">
        <v>82</v>
      </c>
      <c r="J738" t="s">
        <v>52</v>
      </c>
      <c r="K738" t="s">
        <v>144</v>
      </c>
      <c r="L738" t="s">
        <v>60</v>
      </c>
      <c r="M738" t="s">
        <v>122</v>
      </c>
      <c r="N738">
        <v>9</v>
      </c>
      <c r="O738" t="s">
        <v>117</v>
      </c>
      <c r="P738" s="11">
        <v>6000</v>
      </c>
      <c r="Q738" t="s">
        <v>1110</v>
      </c>
      <c r="R738" s="11">
        <f t="shared" si="22"/>
        <v>6000</v>
      </c>
      <c r="S738" t="str">
        <f t="shared" si="23"/>
        <v>One-Time</v>
      </c>
    </row>
    <row r="739" spans="1:19" ht="15" customHeight="1" x14ac:dyDescent="0.3">
      <c r="A739">
        <v>738</v>
      </c>
      <c r="B739" t="s">
        <v>1111</v>
      </c>
      <c r="C739">
        <v>7957175</v>
      </c>
      <c r="D739" t="s">
        <v>114</v>
      </c>
      <c r="E739">
        <v>41</v>
      </c>
      <c r="F739" t="s">
        <v>76</v>
      </c>
      <c r="G739" s="10">
        <v>45437</v>
      </c>
      <c r="H739" t="s">
        <v>41</v>
      </c>
      <c r="I739" t="s">
        <v>82</v>
      </c>
      <c r="J739" t="s">
        <v>52</v>
      </c>
      <c r="K739" t="s">
        <v>144</v>
      </c>
      <c r="L739" t="s">
        <v>60</v>
      </c>
      <c r="M739" t="s">
        <v>122</v>
      </c>
      <c r="N739">
        <v>4</v>
      </c>
      <c r="O739" t="s">
        <v>117</v>
      </c>
      <c r="P739" s="11">
        <v>6000</v>
      </c>
      <c r="Q739" t="s">
        <v>298</v>
      </c>
      <c r="R739" s="11">
        <f t="shared" si="22"/>
        <v>6000</v>
      </c>
      <c r="S739" t="str">
        <f t="shared" si="23"/>
        <v>One-Time</v>
      </c>
    </row>
    <row r="740" spans="1:19" ht="15" customHeight="1" x14ac:dyDescent="0.3">
      <c r="A740">
        <v>739</v>
      </c>
      <c r="B740" t="s">
        <v>1112</v>
      </c>
      <c r="C740">
        <v>9856168</v>
      </c>
      <c r="D740" t="s">
        <v>114</v>
      </c>
      <c r="E740">
        <v>35</v>
      </c>
      <c r="F740" t="s">
        <v>76</v>
      </c>
      <c r="G740" s="10">
        <v>45438</v>
      </c>
      <c r="H740" t="s">
        <v>41</v>
      </c>
      <c r="I740" t="s">
        <v>82</v>
      </c>
      <c r="J740" t="s">
        <v>52</v>
      </c>
      <c r="K740" t="s">
        <v>144</v>
      </c>
      <c r="L740" t="s">
        <v>60</v>
      </c>
      <c r="M740" t="s">
        <v>122</v>
      </c>
      <c r="N740">
        <v>7</v>
      </c>
      <c r="O740" t="s">
        <v>117</v>
      </c>
      <c r="P740" s="11">
        <v>6000</v>
      </c>
      <c r="Q740" t="s">
        <v>1113</v>
      </c>
      <c r="R740" s="11">
        <f t="shared" si="22"/>
        <v>6000</v>
      </c>
      <c r="S740" t="str">
        <f t="shared" si="23"/>
        <v>Repeat</v>
      </c>
    </row>
    <row r="741" spans="1:19" ht="15" customHeight="1" x14ac:dyDescent="0.3">
      <c r="A741">
        <v>740</v>
      </c>
      <c r="B741" t="s">
        <v>1112</v>
      </c>
      <c r="C741">
        <v>9856168</v>
      </c>
      <c r="D741" t="s">
        <v>114</v>
      </c>
      <c r="E741">
        <v>39</v>
      </c>
      <c r="F741" t="s">
        <v>76</v>
      </c>
      <c r="G741" s="10">
        <v>45439</v>
      </c>
      <c r="H741" t="s">
        <v>41</v>
      </c>
      <c r="I741" t="s">
        <v>82</v>
      </c>
      <c r="J741" t="s">
        <v>52</v>
      </c>
      <c r="K741" t="s">
        <v>144</v>
      </c>
      <c r="L741" t="s">
        <v>60</v>
      </c>
      <c r="M741" t="s">
        <v>122</v>
      </c>
      <c r="N741">
        <v>8</v>
      </c>
      <c r="O741" t="s">
        <v>117</v>
      </c>
      <c r="P741" s="11">
        <v>6000</v>
      </c>
      <c r="Q741" t="s">
        <v>1114</v>
      </c>
      <c r="R741" s="11">
        <f t="shared" si="22"/>
        <v>6000</v>
      </c>
      <c r="S741" t="str">
        <f t="shared" si="23"/>
        <v>Repeat</v>
      </c>
    </row>
    <row r="742" spans="1:19" ht="15" customHeight="1" x14ac:dyDescent="0.3">
      <c r="A742">
        <v>741</v>
      </c>
      <c r="B742" t="s">
        <v>1115</v>
      </c>
      <c r="C742">
        <v>419767</v>
      </c>
      <c r="D742" t="s">
        <v>114</v>
      </c>
      <c r="E742">
        <v>67</v>
      </c>
      <c r="F742" t="s">
        <v>77</v>
      </c>
      <c r="G742" s="10">
        <v>45440</v>
      </c>
      <c r="H742" t="s">
        <v>41</v>
      </c>
      <c r="I742" t="s">
        <v>82</v>
      </c>
      <c r="J742" t="s">
        <v>52</v>
      </c>
      <c r="K742" t="s">
        <v>144</v>
      </c>
      <c r="L742" t="s">
        <v>60</v>
      </c>
      <c r="M742" t="s">
        <v>122</v>
      </c>
      <c r="N742">
        <v>9</v>
      </c>
      <c r="O742" t="s">
        <v>117</v>
      </c>
      <c r="P742" s="11">
        <v>6000</v>
      </c>
      <c r="Q742" t="s">
        <v>278</v>
      </c>
      <c r="R742" s="11">
        <f t="shared" si="22"/>
        <v>6000</v>
      </c>
      <c r="S742" t="str">
        <f t="shared" si="23"/>
        <v>One-Time</v>
      </c>
    </row>
    <row r="743" spans="1:19" ht="15" customHeight="1" x14ac:dyDescent="0.3">
      <c r="A743">
        <v>742</v>
      </c>
      <c r="B743" t="s">
        <v>1116</v>
      </c>
      <c r="C743">
        <v>4237412</v>
      </c>
      <c r="D743" t="s">
        <v>114</v>
      </c>
      <c r="E743">
        <v>36</v>
      </c>
      <c r="F743" t="s">
        <v>76</v>
      </c>
      <c r="G743" s="10">
        <v>45441</v>
      </c>
      <c r="H743" t="s">
        <v>41</v>
      </c>
      <c r="I743" t="s">
        <v>82</v>
      </c>
      <c r="J743" t="s">
        <v>52</v>
      </c>
      <c r="K743" t="s">
        <v>144</v>
      </c>
      <c r="L743" t="s">
        <v>60</v>
      </c>
      <c r="M743" t="s">
        <v>122</v>
      </c>
      <c r="N743">
        <v>7</v>
      </c>
      <c r="O743" t="s">
        <v>117</v>
      </c>
      <c r="P743" s="11">
        <v>5900</v>
      </c>
      <c r="Q743" t="s">
        <v>64</v>
      </c>
      <c r="R743" s="11">
        <f t="shared" si="22"/>
        <v>5900</v>
      </c>
      <c r="S743" t="str">
        <f t="shared" si="23"/>
        <v>One-Time</v>
      </c>
    </row>
    <row r="744" spans="1:19" ht="15" customHeight="1" x14ac:dyDescent="0.3">
      <c r="A744">
        <v>743</v>
      </c>
      <c r="B744" t="s">
        <v>1117</v>
      </c>
      <c r="C744">
        <v>4852879</v>
      </c>
      <c r="D744" t="s">
        <v>114</v>
      </c>
      <c r="E744">
        <v>18</v>
      </c>
      <c r="F744" t="s">
        <v>75</v>
      </c>
      <c r="G744" s="10">
        <v>45442</v>
      </c>
      <c r="H744" t="s">
        <v>41</v>
      </c>
      <c r="I744" t="s">
        <v>82</v>
      </c>
      <c r="J744" t="s">
        <v>52</v>
      </c>
      <c r="K744" t="s">
        <v>144</v>
      </c>
      <c r="L744" t="s">
        <v>60</v>
      </c>
      <c r="M744" t="s">
        <v>122</v>
      </c>
      <c r="N744">
        <v>6</v>
      </c>
      <c r="O744" t="s">
        <v>117</v>
      </c>
      <c r="P744" s="11">
        <v>5900</v>
      </c>
      <c r="Q744" t="s">
        <v>512</v>
      </c>
      <c r="R744" s="11">
        <f t="shared" si="22"/>
        <v>5900</v>
      </c>
      <c r="S744" t="str">
        <f t="shared" si="23"/>
        <v>One-Time</v>
      </c>
    </row>
    <row r="745" spans="1:19" ht="15" customHeight="1" x14ac:dyDescent="0.3">
      <c r="A745">
        <v>744</v>
      </c>
      <c r="B745" t="s">
        <v>1118</v>
      </c>
      <c r="C745">
        <v>1405445</v>
      </c>
      <c r="D745" t="s">
        <v>114</v>
      </c>
      <c r="E745">
        <v>67</v>
      </c>
      <c r="F745" t="s">
        <v>77</v>
      </c>
      <c r="G745" s="10">
        <v>45443</v>
      </c>
      <c r="H745" t="s">
        <v>41</v>
      </c>
      <c r="I745" t="s">
        <v>82</v>
      </c>
      <c r="J745" t="s">
        <v>52</v>
      </c>
      <c r="K745" t="s">
        <v>144</v>
      </c>
      <c r="L745" t="s">
        <v>60</v>
      </c>
      <c r="M745" t="s">
        <v>315</v>
      </c>
      <c r="N745">
        <v>2</v>
      </c>
      <c r="O745" t="s">
        <v>117</v>
      </c>
      <c r="P745" s="11">
        <v>5900</v>
      </c>
      <c r="Q745" t="s">
        <v>1119</v>
      </c>
      <c r="R745" s="11">
        <f t="shared" si="22"/>
        <v>5900</v>
      </c>
      <c r="S745" t="str">
        <f t="shared" si="23"/>
        <v>One-Time</v>
      </c>
    </row>
    <row r="746" spans="1:19" ht="15" customHeight="1" x14ac:dyDescent="0.3">
      <c r="A746">
        <v>745</v>
      </c>
      <c r="B746" t="s">
        <v>1120</v>
      </c>
      <c r="C746">
        <v>6884354</v>
      </c>
      <c r="D746" t="s">
        <v>114</v>
      </c>
      <c r="E746">
        <v>23</v>
      </c>
      <c r="F746" t="s">
        <v>75</v>
      </c>
      <c r="G746" s="10">
        <v>45444</v>
      </c>
      <c r="H746" t="s">
        <v>42</v>
      </c>
      <c r="I746" t="s">
        <v>82</v>
      </c>
      <c r="J746" t="s">
        <v>52</v>
      </c>
      <c r="K746" t="s">
        <v>144</v>
      </c>
      <c r="L746" t="s">
        <v>60</v>
      </c>
      <c r="M746" t="s">
        <v>315</v>
      </c>
      <c r="N746">
        <v>8</v>
      </c>
      <c r="O746" t="s">
        <v>117</v>
      </c>
      <c r="P746" s="11">
        <v>5900</v>
      </c>
      <c r="Q746" t="s">
        <v>65</v>
      </c>
      <c r="R746" s="11">
        <f t="shared" si="22"/>
        <v>5900</v>
      </c>
      <c r="S746" t="str">
        <f t="shared" si="23"/>
        <v>One-Time</v>
      </c>
    </row>
    <row r="747" spans="1:19" ht="15" customHeight="1" x14ac:dyDescent="0.3">
      <c r="A747">
        <v>746</v>
      </c>
      <c r="B747" t="s">
        <v>1121</v>
      </c>
      <c r="C747">
        <v>8622174</v>
      </c>
      <c r="D747" t="s">
        <v>114</v>
      </c>
      <c r="E747">
        <v>40</v>
      </c>
      <c r="F747" t="s">
        <v>76</v>
      </c>
      <c r="G747" s="10">
        <v>45445</v>
      </c>
      <c r="H747" t="s">
        <v>42</v>
      </c>
      <c r="I747" t="s">
        <v>82</v>
      </c>
      <c r="J747" t="s">
        <v>52</v>
      </c>
      <c r="K747" t="s">
        <v>144</v>
      </c>
      <c r="L747" t="s">
        <v>60</v>
      </c>
      <c r="M747" t="s">
        <v>315</v>
      </c>
      <c r="N747">
        <v>4</v>
      </c>
      <c r="O747" t="s">
        <v>117</v>
      </c>
      <c r="P747" s="11">
        <v>5900</v>
      </c>
      <c r="Q747" t="s">
        <v>1122</v>
      </c>
      <c r="R747" s="11">
        <f t="shared" si="22"/>
        <v>5900</v>
      </c>
      <c r="S747" t="str">
        <f t="shared" si="23"/>
        <v>One-Time</v>
      </c>
    </row>
    <row r="748" spans="1:19" ht="15" customHeight="1" x14ac:dyDescent="0.3">
      <c r="A748">
        <v>747</v>
      </c>
      <c r="B748" t="s">
        <v>1123</v>
      </c>
      <c r="C748">
        <v>2722780</v>
      </c>
      <c r="D748" t="s">
        <v>114</v>
      </c>
      <c r="E748">
        <v>49</v>
      </c>
      <c r="F748" t="s">
        <v>76</v>
      </c>
      <c r="G748" s="10">
        <v>45446</v>
      </c>
      <c r="H748" t="s">
        <v>42</v>
      </c>
      <c r="I748" t="s">
        <v>82</v>
      </c>
      <c r="J748" t="s">
        <v>52</v>
      </c>
      <c r="K748" t="s">
        <v>144</v>
      </c>
      <c r="L748" t="s">
        <v>60</v>
      </c>
      <c r="M748" t="s">
        <v>315</v>
      </c>
      <c r="N748">
        <v>6</v>
      </c>
      <c r="O748" t="s">
        <v>117</v>
      </c>
      <c r="P748" s="11">
        <v>5900</v>
      </c>
      <c r="Q748" t="s">
        <v>65</v>
      </c>
      <c r="R748" s="11">
        <f t="shared" si="22"/>
        <v>5900</v>
      </c>
      <c r="S748" t="str">
        <f t="shared" si="23"/>
        <v>One-Time</v>
      </c>
    </row>
    <row r="749" spans="1:19" ht="15" customHeight="1" x14ac:dyDescent="0.3">
      <c r="A749">
        <v>748</v>
      </c>
      <c r="B749" t="s">
        <v>1124</v>
      </c>
      <c r="C749">
        <v>5335990</v>
      </c>
      <c r="D749" t="s">
        <v>114</v>
      </c>
      <c r="E749">
        <v>26</v>
      </c>
      <c r="F749" t="s">
        <v>75</v>
      </c>
      <c r="G749" s="10">
        <v>45447</v>
      </c>
      <c r="H749" t="s">
        <v>42</v>
      </c>
      <c r="I749" t="s">
        <v>82</v>
      </c>
      <c r="J749" t="s">
        <v>52</v>
      </c>
      <c r="K749" t="s">
        <v>144</v>
      </c>
      <c r="L749" t="s">
        <v>60</v>
      </c>
      <c r="M749" t="s">
        <v>315</v>
      </c>
      <c r="N749">
        <v>5</v>
      </c>
      <c r="O749" t="s">
        <v>117</v>
      </c>
      <c r="P749" s="11">
        <v>5900</v>
      </c>
      <c r="Q749" t="s">
        <v>68</v>
      </c>
      <c r="R749" s="11">
        <f t="shared" si="22"/>
        <v>5900</v>
      </c>
      <c r="S749" t="str">
        <f t="shared" si="23"/>
        <v>One-Time</v>
      </c>
    </row>
    <row r="750" spans="1:19" ht="15" customHeight="1" x14ac:dyDescent="0.3">
      <c r="A750">
        <v>749</v>
      </c>
      <c r="B750" t="s">
        <v>1125</v>
      </c>
      <c r="C750">
        <v>7826950</v>
      </c>
      <c r="D750" t="s">
        <v>114</v>
      </c>
      <c r="E750">
        <v>33</v>
      </c>
      <c r="F750" t="s">
        <v>76</v>
      </c>
      <c r="G750" s="10">
        <v>45448</v>
      </c>
      <c r="H750" t="s">
        <v>42</v>
      </c>
      <c r="I750" t="s">
        <v>82</v>
      </c>
      <c r="J750" t="s">
        <v>52</v>
      </c>
      <c r="K750" t="s">
        <v>144</v>
      </c>
      <c r="L750" t="s">
        <v>60</v>
      </c>
      <c r="M750" t="s">
        <v>315</v>
      </c>
      <c r="N750">
        <v>23</v>
      </c>
      <c r="O750" t="s">
        <v>117</v>
      </c>
      <c r="P750" s="11">
        <v>5900</v>
      </c>
      <c r="Q750" t="s">
        <v>831</v>
      </c>
      <c r="R750" s="11">
        <f t="shared" si="22"/>
        <v>5900</v>
      </c>
      <c r="S750" t="str">
        <f t="shared" si="23"/>
        <v>One-Time</v>
      </c>
    </row>
    <row r="751" spans="1:19" ht="15" customHeight="1" x14ac:dyDescent="0.3">
      <c r="A751">
        <v>750</v>
      </c>
      <c r="B751" t="s">
        <v>1126</v>
      </c>
      <c r="C751">
        <v>5059217</v>
      </c>
      <c r="D751" t="s">
        <v>114</v>
      </c>
      <c r="E751">
        <v>26</v>
      </c>
      <c r="F751" t="s">
        <v>75</v>
      </c>
      <c r="G751" s="10">
        <v>45449</v>
      </c>
      <c r="H751" t="s">
        <v>42</v>
      </c>
      <c r="I751" t="s">
        <v>82</v>
      </c>
      <c r="J751" t="s">
        <v>52</v>
      </c>
      <c r="K751" t="s">
        <v>142</v>
      </c>
      <c r="L751" t="s">
        <v>60</v>
      </c>
      <c r="M751" t="s">
        <v>315</v>
      </c>
      <c r="N751">
        <v>2</v>
      </c>
      <c r="O751" t="s">
        <v>117</v>
      </c>
      <c r="P751" s="11">
        <v>5900</v>
      </c>
      <c r="Q751" t="s">
        <v>66</v>
      </c>
      <c r="R751" s="11">
        <f t="shared" si="22"/>
        <v>5900</v>
      </c>
      <c r="S751" t="str">
        <f t="shared" si="23"/>
        <v>One-Time</v>
      </c>
    </row>
    <row r="752" spans="1:19" ht="15" customHeight="1" x14ac:dyDescent="0.3">
      <c r="A752">
        <v>751</v>
      </c>
      <c r="B752" t="s">
        <v>1127</v>
      </c>
      <c r="C752">
        <v>494347</v>
      </c>
      <c r="D752" t="s">
        <v>114</v>
      </c>
      <c r="E752">
        <v>62</v>
      </c>
      <c r="F752" t="s">
        <v>77</v>
      </c>
      <c r="G752" s="10">
        <v>45450</v>
      </c>
      <c r="H752" t="s">
        <v>42</v>
      </c>
      <c r="I752" t="s">
        <v>82</v>
      </c>
      <c r="J752" t="s">
        <v>52</v>
      </c>
      <c r="K752" t="s">
        <v>142</v>
      </c>
      <c r="L752" t="s">
        <v>60</v>
      </c>
      <c r="M752" t="s">
        <v>315</v>
      </c>
      <c r="N752">
        <v>5</v>
      </c>
      <c r="O752" t="s">
        <v>117</v>
      </c>
      <c r="P752" s="11">
        <v>5900</v>
      </c>
      <c r="Q752" t="s">
        <v>62</v>
      </c>
      <c r="R752" s="11">
        <f t="shared" si="22"/>
        <v>5900</v>
      </c>
      <c r="S752" t="str">
        <f t="shared" si="23"/>
        <v>One-Time</v>
      </c>
    </row>
    <row r="753" spans="1:19" ht="15" customHeight="1" x14ac:dyDescent="0.3">
      <c r="A753">
        <v>752</v>
      </c>
      <c r="B753" t="s">
        <v>1128</v>
      </c>
      <c r="C753">
        <v>2719685</v>
      </c>
      <c r="D753" t="s">
        <v>114</v>
      </c>
      <c r="E753">
        <v>69</v>
      </c>
      <c r="F753" t="s">
        <v>77</v>
      </c>
      <c r="G753" s="10">
        <v>45451</v>
      </c>
      <c r="H753" t="s">
        <v>42</v>
      </c>
      <c r="I753" t="s">
        <v>82</v>
      </c>
      <c r="J753" t="s">
        <v>52</v>
      </c>
      <c r="K753" t="s">
        <v>142</v>
      </c>
      <c r="L753" t="s">
        <v>60</v>
      </c>
      <c r="M753" t="s">
        <v>315</v>
      </c>
      <c r="N753">
        <v>9</v>
      </c>
      <c r="O753" t="s">
        <v>117</v>
      </c>
      <c r="P753" s="11">
        <v>5900</v>
      </c>
      <c r="Q753" t="s">
        <v>483</v>
      </c>
      <c r="R753" s="11">
        <f t="shared" si="22"/>
        <v>5900</v>
      </c>
      <c r="S753" t="str">
        <f t="shared" si="23"/>
        <v>One-Time</v>
      </c>
    </row>
    <row r="754" spans="1:19" ht="15" customHeight="1" x14ac:dyDescent="0.3">
      <c r="A754">
        <v>753</v>
      </c>
      <c r="B754" t="s">
        <v>1129</v>
      </c>
      <c r="C754">
        <v>2095200</v>
      </c>
      <c r="D754" t="s">
        <v>114</v>
      </c>
      <c r="E754">
        <v>67</v>
      </c>
      <c r="F754" t="s">
        <v>77</v>
      </c>
      <c r="G754" s="10">
        <v>45452</v>
      </c>
      <c r="H754" t="s">
        <v>42</v>
      </c>
      <c r="I754" t="s">
        <v>82</v>
      </c>
      <c r="J754" t="s">
        <v>52</v>
      </c>
      <c r="K754" t="s">
        <v>142</v>
      </c>
      <c r="L754" t="s">
        <v>60</v>
      </c>
      <c r="M754" t="s">
        <v>315</v>
      </c>
      <c r="N754">
        <v>27</v>
      </c>
      <c r="O754" t="s">
        <v>117</v>
      </c>
      <c r="P754" s="11">
        <v>5900</v>
      </c>
      <c r="Q754" t="s">
        <v>166</v>
      </c>
      <c r="R754" s="11">
        <f t="shared" si="22"/>
        <v>5900</v>
      </c>
      <c r="S754" t="str">
        <f t="shared" si="23"/>
        <v>Repeat</v>
      </c>
    </row>
    <row r="755" spans="1:19" ht="15" customHeight="1" x14ac:dyDescent="0.3">
      <c r="A755">
        <v>754</v>
      </c>
      <c r="B755" t="s">
        <v>1129</v>
      </c>
      <c r="C755">
        <v>2095200</v>
      </c>
      <c r="D755" t="s">
        <v>114</v>
      </c>
      <c r="E755">
        <v>59</v>
      </c>
      <c r="F755" t="s">
        <v>77</v>
      </c>
      <c r="G755" s="10">
        <v>45453</v>
      </c>
      <c r="H755" t="s">
        <v>42</v>
      </c>
      <c r="I755" t="s">
        <v>82</v>
      </c>
      <c r="J755" t="s">
        <v>52</v>
      </c>
      <c r="K755" t="s">
        <v>142</v>
      </c>
      <c r="L755" t="s">
        <v>60</v>
      </c>
      <c r="M755" t="s">
        <v>315</v>
      </c>
      <c r="N755">
        <v>6</v>
      </c>
      <c r="O755" t="s">
        <v>117</v>
      </c>
      <c r="P755" s="11">
        <v>5900</v>
      </c>
      <c r="Q755" t="s">
        <v>1130</v>
      </c>
      <c r="R755" s="11">
        <f t="shared" si="22"/>
        <v>5900</v>
      </c>
      <c r="S755" t="str">
        <f t="shared" si="23"/>
        <v>Repeat</v>
      </c>
    </row>
    <row r="756" spans="1:19" ht="15" customHeight="1" x14ac:dyDescent="0.3">
      <c r="A756">
        <v>755</v>
      </c>
      <c r="B756" t="s">
        <v>1131</v>
      </c>
      <c r="C756">
        <v>2454836</v>
      </c>
      <c r="D756" t="s">
        <v>114</v>
      </c>
      <c r="E756">
        <v>64</v>
      </c>
      <c r="F756" t="s">
        <v>77</v>
      </c>
      <c r="G756" s="10">
        <v>45454</v>
      </c>
      <c r="H756" t="s">
        <v>42</v>
      </c>
      <c r="I756" t="s">
        <v>82</v>
      </c>
      <c r="J756" t="s">
        <v>52</v>
      </c>
      <c r="K756" t="s">
        <v>142</v>
      </c>
      <c r="L756" t="s">
        <v>60</v>
      </c>
      <c r="M756" t="s">
        <v>315</v>
      </c>
      <c r="N756">
        <v>6</v>
      </c>
      <c r="O756" t="s">
        <v>117</v>
      </c>
      <c r="P756" s="11">
        <v>5900</v>
      </c>
      <c r="Q756" t="s">
        <v>69</v>
      </c>
      <c r="R756" s="11">
        <f t="shared" si="22"/>
        <v>5900</v>
      </c>
      <c r="S756" t="str">
        <f t="shared" si="23"/>
        <v>Repeat</v>
      </c>
    </row>
    <row r="757" spans="1:19" ht="15" customHeight="1" x14ac:dyDescent="0.3">
      <c r="A757">
        <v>756</v>
      </c>
      <c r="B757" t="s">
        <v>1131</v>
      </c>
      <c r="C757">
        <v>2454836</v>
      </c>
      <c r="D757" t="s">
        <v>114</v>
      </c>
      <c r="E757">
        <v>23</v>
      </c>
      <c r="F757" t="s">
        <v>75</v>
      </c>
      <c r="G757" s="10">
        <v>45455</v>
      </c>
      <c r="H757" t="s">
        <v>42</v>
      </c>
      <c r="I757" t="s">
        <v>82</v>
      </c>
      <c r="J757" t="s">
        <v>52</v>
      </c>
      <c r="K757" t="s">
        <v>142</v>
      </c>
      <c r="L757" t="s">
        <v>60</v>
      </c>
      <c r="M757" t="s">
        <v>315</v>
      </c>
      <c r="N757">
        <v>2</v>
      </c>
      <c r="O757" t="s">
        <v>117</v>
      </c>
      <c r="P757" s="11">
        <v>5900</v>
      </c>
      <c r="Q757" t="s">
        <v>232</v>
      </c>
      <c r="R757" s="11">
        <f t="shared" si="22"/>
        <v>5900</v>
      </c>
      <c r="S757" t="str">
        <f t="shared" si="23"/>
        <v>Repeat</v>
      </c>
    </row>
    <row r="758" spans="1:19" ht="15" customHeight="1" x14ac:dyDescent="0.3">
      <c r="A758">
        <v>757</v>
      </c>
      <c r="B758" t="s">
        <v>1132</v>
      </c>
      <c r="C758">
        <v>6200433</v>
      </c>
      <c r="D758" t="s">
        <v>114</v>
      </c>
      <c r="E758">
        <v>52</v>
      </c>
      <c r="F758" t="s">
        <v>77</v>
      </c>
      <c r="G758" s="10">
        <v>45456</v>
      </c>
      <c r="H758" t="s">
        <v>42</v>
      </c>
      <c r="I758" t="s">
        <v>82</v>
      </c>
      <c r="J758" t="s">
        <v>52</v>
      </c>
      <c r="K758" t="s">
        <v>142</v>
      </c>
      <c r="L758" t="s">
        <v>60</v>
      </c>
      <c r="M758" t="s">
        <v>315</v>
      </c>
      <c r="N758">
        <v>32</v>
      </c>
      <c r="O758" t="s">
        <v>117</v>
      </c>
      <c r="P758" s="11">
        <v>5900</v>
      </c>
      <c r="Q758" t="s">
        <v>63</v>
      </c>
      <c r="R758" s="11">
        <f t="shared" si="22"/>
        <v>5900</v>
      </c>
      <c r="S758" t="str">
        <f t="shared" si="23"/>
        <v>One-Time</v>
      </c>
    </row>
    <row r="759" spans="1:19" ht="15" customHeight="1" x14ac:dyDescent="0.3">
      <c r="A759">
        <v>758</v>
      </c>
      <c r="B759" t="s">
        <v>1133</v>
      </c>
      <c r="C759">
        <v>5499856</v>
      </c>
      <c r="D759" t="s">
        <v>114</v>
      </c>
      <c r="E759">
        <v>53</v>
      </c>
      <c r="F759" t="s">
        <v>77</v>
      </c>
      <c r="G759" s="10">
        <v>45457</v>
      </c>
      <c r="H759" t="s">
        <v>42</v>
      </c>
      <c r="I759" t="s">
        <v>82</v>
      </c>
      <c r="J759" t="s">
        <v>52</v>
      </c>
      <c r="K759" t="s">
        <v>142</v>
      </c>
      <c r="L759" t="s">
        <v>60</v>
      </c>
      <c r="M759" t="s">
        <v>315</v>
      </c>
      <c r="N759">
        <v>3</v>
      </c>
      <c r="O759" t="s">
        <v>117</v>
      </c>
      <c r="P759" s="11">
        <v>5900</v>
      </c>
      <c r="Q759" t="s">
        <v>582</v>
      </c>
      <c r="R759" s="11">
        <f t="shared" si="22"/>
        <v>5900</v>
      </c>
      <c r="S759" t="str">
        <f t="shared" si="23"/>
        <v>One-Time</v>
      </c>
    </row>
    <row r="760" spans="1:19" ht="15" customHeight="1" x14ac:dyDescent="0.3">
      <c r="A760">
        <v>759</v>
      </c>
      <c r="B760" t="s">
        <v>1134</v>
      </c>
      <c r="C760">
        <v>7665140</v>
      </c>
      <c r="D760" t="s">
        <v>114</v>
      </c>
      <c r="E760">
        <v>28</v>
      </c>
      <c r="F760" t="s">
        <v>75</v>
      </c>
      <c r="G760" s="10">
        <v>45458</v>
      </c>
      <c r="H760" t="s">
        <v>42</v>
      </c>
      <c r="I760" t="s">
        <v>82</v>
      </c>
      <c r="J760" t="s">
        <v>52</v>
      </c>
      <c r="K760" t="s">
        <v>142</v>
      </c>
      <c r="L760" t="s">
        <v>60</v>
      </c>
      <c r="M760" t="s">
        <v>315</v>
      </c>
      <c r="N760">
        <v>48</v>
      </c>
      <c r="O760" t="s">
        <v>117</v>
      </c>
      <c r="P760" s="11">
        <v>5900</v>
      </c>
      <c r="Q760" t="s">
        <v>1135</v>
      </c>
      <c r="R760" s="11">
        <f t="shared" si="22"/>
        <v>5900</v>
      </c>
      <c r="S760" t="str">
        <f t="shared" si="23"/>
        <v>One-Time</v>
      </c>
    </row>
    <row r="761" spans="1:19" ht="15" customHeight="1" x14ac:dyDescent="0.3">
      <c r="A761">
        <v>760</v>
      </c>
      <c r="B761" t="s">
        <v>1136</v>
      </c>
      <c r="C761">
        <v>2440471</v>
      </c>
      <c r="D761" t="s">
        <v>114</v>
      </c>
      <c r="E761">
        <v>33</v>
      </c>
      <c r="F761" t="s">
        <v>76</v>
      </c>
      <c r="G761" s="10">
        <v>45459</v>
      </c>
      <c r="H761" t="s">
        <v>42</v>
      </c>
      <c r="I761" t="s">
        <v>82</v>
      </c>
      <c r="J761" t="s">
        <v>52</v>
      </c>
      <c r="K761" t="s">
        <v>142</v>
      </c>
      <c r="L761" t="s">
        <v>60</v>
      </c>
      <c r="M761" t="s">
        <v>315</v>
      </c>
      <c r="N761">
        <v>5</v>
      </c>
      <c r="O761" t="s">
        <v>117</v>
      </c>
      <c r="P761" s="11">
        <v>5900</v>
      </c>
      <c r="Q761" t="s">
        <v>1137</v>
      </c>
      <c r="R761" s="11">
        <f t="shared" si="22"/>
        <v>5900</v>
      </c>
      <c r="S761" t="str">
        <f t="shared" si="23"/>
        <v>One-Time</v>
      </c>
    </row>
    <row r="762" spans="1:19" ht="15" customHeight="1" x14ac:dyDescent="0.3">
      <c r="A762">
        <v>761</v>
      </c>
      <c r="B762" t="s">
        <v>1138</v>
      </c>
      <c r="C762">
        <v>3006045</v>
      </c>
      <c r="D762" t="s">
        <v>114</v>
      </c>
      <c r="E762">
        <v>32</v>
      </c>
      <c r="F762" t="s">
        <v>76</v>
      </c>
      <c r="G762" s="10">
        <v>45460</v>
      </c>
      <c r="H762" t="s">
        <v>42</v>
      </c>
      <c r="I762" t="s">
        <v>85</v>
      </c>
      <c r="J762" t="s">
        <v>52</v>
      </c>
      <c r="K762" t="s">
        <v>142</v>
      </c>
      <c r="L762" t="s">
        <v>60</v>
      </c>
      <c r="M762" t="s">
        <v>315</v>
      </c>
      <c r="N762">
        <v>2</v>
      </c>
      <c r="O762" t="s">
        <v>117</v>
      </c>
      <c r="P762" s="11">
        <v>5900</v>
      </c>
      <c r="Q762" t="s">
        <v>601</v>
      </c>
      <c r="R762" s="11">
        <f t="shared" si="22"/>
        <v>0</v>
      </c>
      <c r="S762" t="str">
        <f t="shared" si="23"/>
        <v>One-Time</v>
      </c>
    </row>
    <row r="763" spans="1:19" ht="15" customHeight="1" x14ac:dyDescent="0.3">
      <c r="A763">
        <v>762</v>
      </c>
      <c r="B763" t="s">
        <v>1139</v>
      </c>
      <c r="C763">
        <v>8395290</v>
      </c>
      <c r="D763" t="s">
        <v>114</v>
      </c>
      <c r="E763">
        <v>46</v>
      </c>
      <c r="F763" t="s">
        <v>76</v>
      </c>
      <c r="G763" s="10">
        <v>45461</v>
      </c>
      <c r="H763" t="s">
        <v>42</v>
      </c>
      <c r="I763" t="s">
        <v>82</v>
      </c>
      <c r="J763" t="s">
        <v>52</v>
      </c>
      <c r="K763" t="s">
        <v>142</v>
      </c>
      <c r="L763" t="s">
        <v>60</v>
      </c>
      <c r="M763" t="s">
        <v>315</v>
      </c>
      <c r="N763">
        <v>9</v>
      </c>
      <c r="O763" t="s">
        <v>117</v>
      </c>
      <c r="P763" s="11">
        <v>5900</v>
      </c>
      <c r="Q763" t="s">
        <v>1140</v>
      </c>
      <c r="R763" s="11">
        <f t="shared" si="22"/>
        <v>5900</v>
      </c>
      <c r="S763" t="str">
        <f t="shared" si="23"/>
        <v>One-Time</v>
      </c>
    </row>
    <row r="764" spans="1:19" ht="15" customHeight="1" x14ac:dyDescent="0.3">
      <c r="A764">
        <v>763</v>
      </c>
      <c r="B764" t="s">
        <v>1141</v>
      </c>
      <c r="C764">
        <v>946941</v>
      </c>
      <c r="D764" t="s">
        <v>114</v>
      </c>
      <c r="E764">
        <v>36</v>
      </c>
      <c r="F764" t="s">
        <v>76</v>
      </c>
      <c r="G764" s="10">
        <v>45462</v>
      </c>
      <c r="H764" t="s">
        <v>42</v>
      </c>
      <c r="I764" t="s">
        <v>82</v>
      </c>
      <c r="J764" t="s">
        <v>52</v>
      </c>
      <c r="K764" t="s">
        <v>142</v>
      </c>
      <c r="L764" t="s">
        <v>60</v>
      </c>
      <c r="M764" t="s">
        <v>315</v>
      </c>
      <c r="N764">
        <v>7</v>
      </c>
      <c r="O764" t="s">
        <v>117</v>
      </c>
      <c r="P764" s="11">
        <v>5900</v>
      </c>
      <c r="Q764" t="s">
        <v>1142</v>
      </c>
      <c r="R764" s="11">
        <f t="shared" si="22"/>
        <v>5900</v>
      </c>
      <c r="S764" t="str">
        <f t="shared" si="23"/>
        <v>One-Time</v>
      </c>
    </row>
    <row r="765" spans="1:19" ht="15" customHeight="1" x14ac:dyDescent="0.3">
      <c r="A765">
        <v>764</v>
      </c>
      <c r="B765" t="s">
        <v>1143</v>
      </c>
      <c r="C765">
        <v>1458563</v>
      </c>
      <c r="D765" t="s">
        <v>114</v>
      </c>
      <c r="E765">
        <v>46</v>
      </c>
      <c r="F765" t="s">
        <v>76</v>
      </c>
      <c r="G765" s="10">
        <v>45463</v>
      </c>
      <c r="H765" t="s">
        <v>42</v>
      </c>
      <c r="I765" t="s">
        <v>82</v>
      </c>
      <c r="J765" t="s">
        <v>52</v>
      </c>
      <c r="K765" t="s">
        <v>142</v>
      </c>
      <c r="L765" t="s">
        <v>60</v>
      </c>
      <c r="M765" t="s">
        <v>315</v>
      </c>
      <c r="N765">
        <v>2</v>
      </c>
      <c r="O765" t="s">
        <v>117</v>
      </c>
      <c r="P765" s="11">
        <v>5900</v>
      </c>
      <c r="Q765" t="s">
        <v>62</v>
      </c>
      <c r="R765" s="11">
        <f t="shared" si="22"/>
        <v>5900</v>
      </c>
      <c r="S765" t="str">
        <f t="shared" si="23"/>
        <v>One-Time</v>
      </c>
    </row>
    <row r="766" spans="1:19" ht="15" customHeight="1" x14ac:dyDescent="0.3">
      <c r="A766">
        <v>765</v>
      </c>
      <c r="B766" t="s">
        <v>1144</v>
      </c>
      <c r="C766">
        <v>6352387</v>
      </c>
      <c r="D766" t="s">
        <v>114</v>
      </c>
      <c r="E766">
        <v>61</v>
      </c>
      <c r="F766" t="s">
        <v>77</v>
      </c>
      <c r="G766" s="10">
        <v>45464</v>
      </c>
      <c r="H766" t="s">
        <v>42</v>
      </c>
      <c r="I766" t="s">
        <v>82</v>
      </c>
      <c r="J766" t="s">
        <v>52</v>
      </c>
      <c r="K766" t="s">
        <v>142</v>
      </c>
      <c r="L766" t="s">
        <v>60</v>
      </c>
      <c r="M766" t="s">
        <v>122</v>
      </c>
      <c r="N766">
        <v>8</v>
      </c>
      <c r="O766" t="s">
        <v>117</v>
      </c>
      <c r="P766" s="11">
        <v>5900</v>
      </c>
      <c r="Q766" t="s">
        <v>62</v>
      </c>
      <c r="R766" s="11">
        <f t="shared" si="22"/>
        <v>5900</v>
      </c>
      <c r="S766" t="str">
        <f t="shared" si="23"/>
        <v>One-Time</v>
      </c>
    </row>
    <row r="767" spans="1:19" ht="15" customHeight="1" x14ac:dyDescent="0.3">
      <c r="A767">
        <v>766</v>
      </c>
      <c r="B767" t="s">
        <v>1145</v>
      </c>
      <c r="C767">
        <v>3994643</v>
      </c>
      <c r="D767" t="s">
        <v>114</v>
      </c>
      <c r="E767">
        <v>19</v>
      </c>
      <c r="F767" t="s">
        <v>75</v>
      </c>
      <c r="G767" s="10">
        <v>45465</v>
      </c>
      <c r="H767" t="s">
        <v>42</v>
      </c>
      <c r="I767" t="s">
        <v>82</v>
      </c>
      <c r="J767" t="s">
        <v>52</v>
      </c>
      <c r="K767" t="s">
        <v>142</v>
      </c>
      <c r="L767" t="s">
        <v>60</v>
      </c>
      <c r="M767" t="s">
        <v>122</v>
      </c>
      <c r="N767">
        <v>4</v>
      </c>
      <c r="O767" t="s">
        <v>117</v>
      </c>
      <c r="P767" s="11">
        <v>5900</v>
      </c>
      <c r="Q767" t="s">
        <v>70</v>
      </c>
      <c r="R767" s="11">
        <f t="shared" si="22"/>
        <v>5900</v>
      </c>
      <c r="S767" t="str">
        <f t="shared" si="23"/>
        <v>One-Time</v>
      </c>
    </row>
    <row r="768" spans="1:19" ht="15" customHeight="1" x14ac:dyDescent="0.3">
      <c r="A768">
        <v>767</v>
      </c>
      <c r="B768" t="s">
        <v>1146</v>
      </c>
      <c r="C768">
        <v>1301703</v>
      </c>
      <c r="D768" t="s">
        <v>114</v>
      </c>
      <c r="E768">
        <v>35</v>
      </c>
      <c r="F768" t="s">
        <v>76</v>
      </c>
      <c r="G768" s="10">
        <v>45466</v>
      </c>
      <c r="H768" t="s">
        <v>42</v>
      </c>
      <c r="I768" t="s">
        <v>82</v>
      </c>
      <c r="J768" t="s">
        <v>52</v>
      </c>
      <c r="K768" t="s">
        <v>121</v>
      </c>
      <c r="L768" t="s">
        <v>60</v>
      </c>
      <c r="M768" t="s">
        <v>122</v>
      </c>
      <c r="N768">
        <v>5</v>
      </c>
      <c r="O768" t="s">
        <v>117</v>
      </c>
      <c r="P768" s="11">
        <v>5900</v>
      </c>
      <c r="Q768" t="s">
        <v>66</v>
      </c>
      <c r="R768" s="11">
        <f t="shared" si="22"/>
        <v>5900</v>
      </c>
      <c r="S768" t="str">
        <f t="shared" si="23"/>
        <v>One-Time</v>
      </c>
    </row>
    <row r="769" spans="1:19" ht="15" customHeight="1" x14ac:dyDescent="0.3">
      <c r="A769">
        <v>768</v>
      </c>
      <c r="B769" t="s">
        <v>1147</v>
      </c>
      <c r="C769">
        <v>9479330</v>
      </c>
      <c r="D769" t="s">
        <v>114</v>
      </c>
      <c r="E769">
        <v>29</v>
      </c>
      <c r="F769" t="s">
        <v>75</v>
      </c>
      <c r="G769" s="10">
        <v>45467</v>
      </c>
      <c r="H769" t="s">
        <v>42</v>
      </c>
      <c r="I769" t="s">
        <v>82</v>
      </c>
      <c r="J769" t="s">
        <v>52</v>
      </c>
      <c r="K769" t="s">
        <v>121</v>
      </c>
      <c r="L769" t="s">
        <v>60</v>
      </c>
      <c r="M769" t="s">
        <v>122</v>
      </c>
      <c r="N769">
        <v>6</v>
      </c>
      <c r="O769" t="s">
        <v>117</v>
      </c>
      <c r="P769" s="11">
        <v>5900</v>
      </c>
      <c r="Q769" t="s">
        <v>487</v>
      </c>
      <c r="R769" s="11">
        <f t="shared" si="22"/>
        <v>5900</v>
      </c>
      <c r="S769" t="str">
        <f t="shared" si="23"/>
        <v>One-Time</v>
      </c>
    </row>
    <row r="770" spans="1:19" ht="15" customHeight="1" x14ac:dyDescent="0.3">
      <c r="A770">
        <v>769</v>
      </c>
      <c r="B770" t="s">
        <v>1148</v>
      </c>
      <c r="C770">
        <v>3896864</v>
      </c>
      <c r="D770" t="s">
        <v>114</v>
      </c>
      <c r="E770">
        <v>37</v>
      </c>
      <c r="F770" t="s">
        <v>76</v>
      </c>
      <c r="G770" s="10">
        <v>45468</v>
      </c>
      <c r="H770" t="s">
        <v>42</v>
      </c>
      <c r="I770" t="s">
        <v>82</v>
      </c>
      <c r="J770" t="s">
        <v>52</v>
      </c>
      <c r="K770" t="s">
        <v>121</v>
      </c>
      <c r="L770" t="s">
        <v>60</v>
      </c>
      <c r="M770" t="s">
        <v>122</v>
      </c>
      <c r="N770">
        <v>31</v>
      </c>
      <c r="O770" t="s">
        <v>117</v>
      </c>
      <c r="P770" s="11">
        <v>5900</v>
      </c>
      <c r="Q770" t="s">
        <v>1149</v>
      </c>
      <c r="R770" s="11">
        <f t="shared" ref="R770:R833" si="24">IF(I770="Delivered",P770,0)</f>
        <v>5900</v>
      </c>
      <c r="S770" t="str">
        <f t="shared" ref="S770:S833" si="25">IF(COUNTIF($C$2:$C$1501,C770)&gt;1,"Repeat","One-Time")</f>
        <v>One-Time</v>
      </c>
    </row>
    <row r="771" spans="1:19" ht="15" customHeight="1" x14ac:dyDescent="0.3">
      <c r="A771">
        <v>770</v>
      </c>
      <c r="B771" t="s">
        <v>1150</v>
      </c>
      <c r="C771">
        <v>1345584</v>
      </c>
      <c r="D771" t="s">
        <v>114</v>
      </c>
      <c r="E771">
        <v>46</v>
      </c>
      <c r="F771" t="s">
        <v>76</v>
      </c>
      <c r="G771" s="10">
        <v>45469</v>
      </c>
      <c r="H771" t="s">
        <v>42</v>
      </c>
      <c r="I771" t="s">
        <v>82</v>
      </c>
      <c r="J771" t="s">
        <v>52</v>
      </c>
      <c r="K771" t="s">
        <v>121</v>
      </c>
      <c r="L771" t="s">
        <v>60</v>
      </c>
      <c r="M771" t="s">
        <v>122</v>
      </c>
      <c r="N771">
        <v>2</v>
      </c>
      <c r="O771" t="s">
        <v>117</v>
      </c>
      <c r="P771" s="11">
        <v>5900</v>
      </c>
      <c r="Q771" t="s">
        <v>1151</v>
      </c>
      <c r="R771" s="11">
        <f t="shared" si="24"/>
        <v>5900</v>
      </c>
      <c r="S771" t="str">
        <f t="shared" si="25"/>
        <v>One-Time</v>
      </c>
    </row>
    <row r="772" spans="1:19" ht="15" customHeight="1" x14ac:dyDescent="0.3">
      <c r="A772">
        <v>771</v>
      </c>
      <c r="B772" t="s">
        <v>1152</v>
      </c>
      <c r="C772">
        <v>5716860</v>
      </c>
      <c r="D772" t="s">
        <v>114</v>
      </c>
      <c r="E772">
        <v>18</v>
      </c>
      <c r="F772" t="s">
        <v>75</v>
      </c>
      <c r="G772" s="10">
        <v>45470</v>
      </c>
      <c r="H772" t="s">
        <v>42</v>
      </c>
      <c r="I772" t="s">
        <v>82</v>
      </c>
      <c r="J772" t="s">
        <v>52</v>
      </c>
      <c r="K772" t="s">
        <v>121</v>
      </c>
      <c r="L772" t="s">
        <v>60</v>
      </c>
      <c r="M772" t="s">
        <v>122</v>
      </c>
      <c r="N772">
        <v>5</v>
      </c>
      <c r="O772" t="s">
        <v>117</v>
      </c>
      <c r="P772" s="11">
        <v>5900</v>
      </c>
      <c r="Q772" t="s">
        <v>1153</v>
      </c>
      <c r="R772" s="11">
        <f t="shared" si="24"/>
        <v>5900</v>
      </c>
      <c r="S772" t="str">
        <f t="shared" si="25"/>
        <v>One-Time</v>
      </c>
    </row>
    <row r="773" spans="1:19" ht="15" customHeight="1" x14ac:dyDescent="0.3">
      <c r="A773">
        <v>772</v>
      </c>
      <c r="B773" t="s">
        <v>1154</v>
      </c>
      <c r="C773">
        <v>4272710</v>
      </c>
      <c r="D773" t="s">
        <v>114</v>
      </c>
      <c r="E773">
        <v>40</v>
      </c>
      <c r="F773" t="s">
        <v>76</v>
      </c>
      <c r="G773" s="10">
        <v>45471</v>
      </c>
      <c r="H773" t="s">
        <v>42</v>
      </c>
      <c r="I773" t="s">
        <v>82</v>
      </c>
      <c r="J773" t="s">
        <v>52</v>
      </c>
      <c r="K773" t="s">
        <v>121</v>
      </c>
      <c r="L773" t="s">
        <v>60</v>
      </c>
      <c r="M773" t="s">
        <v>122</v>
      </c>
      <c r="N773">
        <v>5</v>
      </c>
      <c r="O773" t="s">
        <v>117</v>
      </c>
      <c r="P773" s="11">
        <v>5900</v>
      </c>
      <c r="Q773" t="s">
        <v>250</v>
      </c>
      <c r="R773" s="11">
        <f t="shared" si="24"/>
        <v>5900</v>
      </c>
      <c r="S773" t="str">
        <f t="shared" si="25"/>
        <v>One-Time</v>
      </c>
    </row>
    <row r="774" spans="1:19" ht="15" customHeight="1" x14ac:dyDescent="0.3">
      <c r="A774">
        <v>773</v>
      </c>
      <c r="B774" t="s">
        <v>1155</v>
      </c>
      <c r="C774">
        <v>922290</v>
      </c>
      <c r="D774" t="s">
        <v>114</v>
      </c>
      <c r="E774">
        <v>37</v>
      </c>
      <c r="F774" t="s">
        <v>76</v>
      </c>
      <c r="G774" s="10">
        <v>45472</v>
      </c>
      <c r="H774" t="s">
        <v>42</v>
      </c>
      <c r="I774" t="s">
        <v>82</v>
      </c>
      <c r="J774" t="s">
        <v>52</v>
      </c>
      <c r="K774" t="s">
        <v>121</v>
      </c>
      <c r="L774" t="s">
        <v>60</v>
      </c>
      <c r="M774" t="s">
        <v>122</v>
      </c>
      <c r="N774">
        <v>8</v>
      </c>
      <c r="O774" t="s">
        <v>117</v>
      </c>
      <c r="P774" s="11">
        <v>5900</v>
      </c>
      <c r="Q774" t="s">
        <v>483</v>
      </c>
      <c r="R774" s="11">
        <f t="shared" si="24"/>
        <v>5900</v>
      </c>
      <c r="S774" t="str">
        <f t="shared" si="25"/>
        <v>Repeat</v>
      </c>
    </row>
    <row r="775" spans="1:19" ht="15" customHeight="1" x14ac:dyDescent="0.3">
      <c r="A775">
        <v>774</v>
      </c>
      <c r="B775" t="s">
        <v>1155</v>
      </c>
      <c r="C775">
        <v>922290</v>
      </c>
      <c r="D775" t="s">
        <v>114</v>
      </c>
      <c r="E775">
        <v>61</v>
      </c>
      <c r="F775" t="s">
        <v>77</v>
      </c>
      <c r="G775" s="10">
        <v>45473</v>
      </c>
      <c r="H775" t="s">
        <v>42</v>
      </c>
      <c r="I775" t="s">
        <v>82</v>
      </c>
      <c r="J775" t="s">
        <v>52</v>
      </c>
      <c r="K775" t="s">
        <v>121</v>
      </c>
      <c r="L775" t="s">
        <v>60</v>
      </c>
      <c r="M775" t="s">
        <v>122</v>
      </c>
      <c r="N775">
        <v>9</v>
      </c>
      <c r="O775" t="s">
        <v>117</v>
      </c>
      <c r="P775" s="11">
        <v>5900</v>
      </c>
      <c r="Q775" t="s">
        <v>65</v>
      </c>
      <c r="R775" s="11">
        <f t="shared" si="24"/>
        <v>5900</v>
      </c>
      <c r="S775" t="str">
        <f t="shared" si="25"/>
        <v>Repeat</v>
      </c>
    </row>
    <row r="776" spans="1:19" ht="15" customHeight="1" x14ac:dyDescent="0.3">
      <c r="A776">
        <v>775</v>
      </c>
      <c r="B776" t="s">
        <v>1155</v>
      </c>
      <c r="C776">
        <v>922290</v>
      </c>
      <c r="D776" t="s">
        <v>114</v>
      </c>
      <c r="E776">
        <v>47</v>
      </c>
      <c r="F776" t="s">
        <v>76</v>
      </c>
      <c r="G776" s="10">
        <v>45474</v>
      </c>
      <c r="H776" t="s">
        <v>43</v>
      </c>
      <c r="I776" t="s">
        <v>82</v>
      </c>
      <c r="J776" t="s">
        <v>52</v>
      </c>
      <c r="K776" t="s">
        <v>121</v>
      </c>
      <c r="L776" t="s">
        <v>60</v>
      </c>
      <c r="M776" t="s">
        <v>122</v>
      </c>
      <c r="N776">
        <v>4</v>
      </c>
      <c r="O776" t="s">
        <v>117</v>
      </c>
      <c r="P776" s="11">
        <v>5900</v>
      </c>
      <c r="Q776" t="s">
        <v>1156</v>
      </c>
      <c r="R776" s="11">
        <f t="shared" si="24"/>
        <v>5900</v>
      </c>
      <c r="S776" t="str">
        <f t="shared" si="25"/>
        <v>Repeat</v>
      </c>
    </row>
    <row r="777" spans="1:19" ht="15" customHeight="1" x14ac:dyDescent="0.3">
      <c r="A777">
        <v>776</v>
      </c>
      <c r="B777" t="s">
        <v>1157</v>
      </c>
      <c r="C777">
        <v>1740618</v>
      </c>
      <c r="D777" t="s">
        <v>114</v>
      </c>
      <c r="E777">
        <v>39</v>
      </c>
      <c r="F777" t="s">
        <v>76</v>
      </c>
      <c r="G777" s="10">
        <v>45475</v>
      </c>
      <c r="H777" t="s">
        <v>43</v>
      </c>
      <c r="I777" t="s">
        <v>82</v>
      </c>
      <c r="J777" t="s">
        <v>52</v>
      </c>
      <c r="K777" t="s">
        <v>121</v>
      </c>
      <c r="L777" t="s">
        <v>60</v>
      </c>
      <c r="M777" t="s">
        <v>122</v>
      </c>
      <c r="N777">
        <v>7</v>
      </c>
      <c r="O777" t="s">
        <v>117</v>
      </c>
      <c r="P777" s="11">
        <v>5900</v>
      </c>
      <c r="Q777" t="s">
        <v>429</v>
      </c>
      <c r="R777" s="11">
        <f t="shared" si="24"/>
        <v>5900</v>
      </c>
      <c r="S777" t="str">
        <f t="shared" si="25"/>
        <v>Repeat</v>
      </c>
    </row>
    <row r="778" spans="1:19" ht="15" customHeight="1" x14ac:dyDescent="0.3">
      <c r="A778">
        <v>777</v>
      </c>
      <c r="B778" t="s">
        <v>1157</v>
      </c>
      <c r="C778">
        <v>1740618</v>
      </c>
      <c r="D778" t="s">
        <v>114</v>
      </c>
      <c r="E778">
        <v>38</v>
      </c>
      <c r="F778" t="s">
        <v>76</v>
      </c>
      <c r="G778" s="10">
        <v>45476</v>
      </c>
      <c r="H778" t="s">
        <v>43</v>
      </c>
      <c r="I778" t="s">
        <v>82</v>
      </c>
      <c r="J778" t="s">
        <v>52</v>
      </c>
      <c r="K778" t="s">
        <v>121</v>
      </c>
      <c r="L778" t="s">
        <v>60</v>
      </c>
      <c r="M778" t="s">
        <v>122</v>
      </c>
      <c r="N778">
        <v>8</v>
      </c>
      <c r="O778" t="s">
        <v>117</v>
      </c>
      <c r="P778" s="11">
        <v>5900</v>
      </c>
      <c r="Q778" t="s">
        <v>66</v>
      </c>
      <c r="R778" s="11">
        <f t="shared" si="24"/>
        <v>5900</v>
      </c>
      <c r="S778" t="str">
        <f t="shared" si="25"/>
        <v>Repeat</v>
      </c>
    </row>
    <row r="779" spans="1:19" ht="15" customHeight="1" x14ac:dyDescent="0.3">
      <c r="A779">
        <v>778</v>
      </c>
      <c r="B779" t="s">
        <v>1158</v>
      </c>
      <c r="C779">
        <v>602968</v>
      </c>
      <c r="D779" t="s">
        <v>114</v>
      </c>
      <c r="E779">
        <v>28</v>
      </c>
      <c r="F779" t="s">
        <v>75</v>
      </c>
      <c r="G779" s="10">
        <v>45477</v>
      </c>
      <c r="H779" t="s">
        <v>43</v>
      </c>
      <c r="I779" t="s">
        <v>83</v>
      </c>
      <c r="J779" t="s">
        <v>52</v>
      </c>
      <c r="K779" t="s">
        <v>121</v>
      </c>
      <c r="L779" t="s">
        <v>60</v>
      </c>
      <c r="M779" t="s">
        <v>122</v>
      </c>
      <c r="N779">
        <v>32</v>
      </c>
      <c r="O779" t="s">
        <v>117</v>
      </c>
      <c r="P779" s="11">
        <v>5900</v>
      </c>
      <c r="Q779" t="s">
        <v>1159</v>
      </c>
      <c r="R779" s="11">
        <f t="shared" si="24"/>
        <v>0</v>
      </c>
      <c r="S779" t="str">
        <f t="shared" si="25"/>
        <v>One-Time</v>
      </c>
    </row>
    <row r="780" spans="1:19" ht="15" customHeight="1" x14ac:dyDescent="0.3">
      <c r="A780">
        <v>779</v>
      </c>
      <c r="B780" t="s">
        <v>1160</v>
      </c>
      <c r="C780">
        <v>9062863</v>
      </c>
      <c r="D780" t="s">
        <v>114</v>
      </c>
      <c r="E780">
        <v>41</v>
      </c>
      <c r="F780" t="s">
        <v>76</v>
      </c>
      <c r="G780" s="10">
        <v>45478</v>
      </c>
      <c r="H780" t="s">
        <v>43</v>
      </c>
      <c r="I780" t="s">
        <v>85</v>
      </c>
      <c r="J780" t="s">
        <v>52</v>
      </c>
      <c r="K780" t="s">
        <v>121</v>
      </c>
      <c r="L780" t="s">
        <v>60</v>
      </c>
      <c r="M780" t="s">
        <v>122</v>
      </c>
      <c r="N780">
        <v>3</v>
      </c>
      <c r="O780" t="s">
        <v>117</v>
      </c>
      <c r="P780" s="11">
        <v>5900</v>
      </c>
      <c r="Q780" t="s">
        <v>468</v>
      </c>
      <c r="R780" s="11">
        <f t="shared" si="24"/>
        <v>0</v>
      </c>
      <c r="S780" t="str">
        <f t="shared" si="25"/>
        <v>One-Time</v>
      </c>
    </row>
    <row r="781" spans="1:19" ht="15" customHeight="1" x14ac:dyDescent="0.3">
      <c r="A781">
        <v>780</v>
      </c>
      <c r="B781" t="s">
        <v>1161</v>
      </c>
      <c r="C781">
        <v>3613368</v>
      </c>
      <c r="D781" t="s">
        <v>114</v>
      </c>
      <c r="E781">
        <v>43</v>
      </c>
      <c r="F781" t="s">
        <v>76</v>
      </c>
      <c r="G781" s="10">
        <v>45479</v>
      </c>
      <c r="H781" t="s">
        <v>43</v>
      </c>
      <c r="I781" t="s">
        <v>82</v>
      </c>
      <c r="J781" t="s">
        <v>52</v>
      </c>
      <c r="K781" t="s">
        <v>121</v>
      </c>
      <c r="L781" t="s">
        <v>60</v>
      </c>
      <c r="M781" t="s">
        <v>122</v>
      </c>
      <c r="N781">
        <v>48</v>
      </c>
      <c r="O781" t="s">
        <v>117</v>
      </c>
      <c r="P781" s="11">
        <v>5900</v>
      </c>
      <c r="Q781" t="s">
        <v>1162</v>
      </c>
      <c r="R781" s="11">
        <f t="shared" si="24"/>
        <v>5900</v>
      </c>
      <c r="S781" t="str">
        <f t="shared" si="25"/>
        <v>One-Time</v>
      </c>
    </row>
    <row r="782" spans="1:19" ht="15" customHeight="1" x14ac:dyDescent="0.3">
      <c r="A782">
        <v>781</v>
      </c>
      <c r="B782" t="s">
        <v>1163</v>
      </c>
      <c r="C782">
        <v>4420178</v>
      </c>
      <c r="D782" t="s">
        <v>114</v>
      </c>
      <c r="E782">
        <v>27</v>
      </c>
      <c r="F782" t="s">
        <v>75</v>
      </c>
      <c r="G782" s="10">
        <v>45480</v>
      </c>
      <c r="H782" t="s">
        <v>43</v>
      </c>
      <c r="I782" t="s">
        <v>82</v>
      </c>
      <c r="J782" t="s">
        <v>52</v>
      </c>
      <c r="K782" t="s">
        <v>121</v>
      </c>
      <c r="L782" t="s">
        <v>60</v>
      </c>
      <c r="M782" t="s">
        <v>122</v>
      </c>
      <c r="N782">
        <v>5</v>
      </c>
      <c r="O782" t="s">
        <v>117</v>
      </c>
      <c r="P782" s="11">
        <v>6600</v>
      </c>
      <c r="Q782" t="s">
        <v>64</v>
      </c>
      <c r="R782" s="11">
        <f t="shared" si="24"/>
        <v>6600</v>
      </c>
      <c r="S782" t="str">
        <f t="shared" si="25"/>
        <v>One-Time</v>
      </c>
    </row>
    <row r="783" spans="1:19" ht="15" customHeight="1" x14ac:dyDescent="0.3">
      <c r="A783">
        <v>782</v>
      </c>
      <c r="B783" t="s">
        <v>1164</v>
      </c>
      <c r="C783">
        <v>4969411</v>
      </c>
      <c r="D783" t="s">
        <v>114</v>
      </c>
      <c r="E783">
        <v>37</v>
      </c>
      <c r="F783" t="s">
        <v>76</v>
      </c>
      <c r="G783" s="10">
        <v>45481</v>
      </c>
      <c r="H783" t="s">
        <v>43</v>
      </c>
      <c r="I783" t="s">
        <v>82</v>
      </c>
      <c r="J783" t="s">
        <v>52</v>
      </c>
      <c r="K783" t="s">
        <v>121</v>
      </c>
      <c r="L783" t="s">
        <v>60</v>
      </c>
      <c r="M783" t="s">
        <v>122</v>
      </c>
      <c r="N783">
        <v>2</v>
      </c>
      <c r="O783" t="s">
        <v>117</v>
      </c>
      <c r="P783" s="11">
        <v>6600</v>
      </c>
      <c r="Q783" t="s">
        <v>64</v>
      </c>
      <c r="R783" s="11">
        <f t="shared" si="24"/>
        <v>6600</v>
      </c>
      <c r="S783" t="str">
        <f t="shared" si="25"/>
        <v>One-Time</v>
      </c>
    </row>
    <row r="784" spans="1:19" ht="15" customHeight="1" x14ac:dyDescent="0.3">
      <c r="A784">
        <v>783</v>
      </c>
      <c r="B784" t="s">
        <v>1165</v>
      </c>
      <c r="C784">
        <v>9145699</v>
      </c>
      <c r="D784" t="s">
        <v>114</v>
      </c>
      <c r="E784">
        <v>40</v>
      </c>
      <c r="F784" t="s">
        <v>76</v>
      </c>
      <c r="G784" s="10">
        <v>45482</v>
      </c>
      <c r="H784" t="s">
        <v>43</v>
      </c>
      <c r="I784" t="s">
        <v>82</v>
      </c>
      <c r="J784" t="s">
        <v>52</v>
      </c>
      <c r="K784" t="s">
        <v>144</v>
      </c>
      <c r="L784" t="s">
        <v>60</v>
      </c>
      <c r="M784" t="s">
        <v>122</v>
      </c>
      <c r="N784">
        <v>9</v>
      </c>
      <c r="O784" t="s">
        <v>117</v>
      </c>
      <c r="P784" s="11">
        <v>6600</v>
      </c>
      <c r="Q784" t="s">
        <v>63</v>
      </c>
      <c r="R784" s="11">
        <f t="shared" si="24"/>
        <v>6600</v>
      </c>
      <c r="S784" t="str">
        <f t="shared" si="25"/>
        <v>One-Time</v>
      </c>
    </row>
    <row r="785" spans="1:19" ht="15" customHeight="1" x14ac:dyDescent="0.3">
      <c r="A785">
        <v>784</v>
      </c>
      <c r="B785" t="s">
        <v>1166</v>
      </c>
      <c r="C785">
        <v>9303710</v>
      </c>
      <c r="D785" t="s">
        <v>114</v>
      </c>
      <c r="E785">
        <v>57</v>
      </c>
      <c r="F785" t="s">
        <v>77</v>
      </c>
      <c r="G785" s="10">
        <v>45483</v>
      </c>
      <c r="H785" t="s">
        <v>43</v>
      </c>
      <c r="I785" t="s">
        <v>82</v>
      </c>
      <c r="J785" t="s">
        <v>52</v>
      </c>
      <c r="K785" t="s">
        <v>144</v>
      </c>
      <c r="L785" t="s">
        <v>60</v>
      </c>
      <c r="M785" t="s">
        <v>122</v>
      </c>
      <c r="N785">
        <v>7</v>
      </c>
      <c r="O785" t="s">
        <v>117</v>
      </c>
      <c r="P785" s="11">
        <v>6600</v>
      </c>
      <c r="Q785" t="s">
        <v>1167</v>
      </c>
      <c r="R785" s="11">
        <f t="shared" si="24"/>
        <v>6600</v>
      </c>
      <c r="S785" t="str">
        <f t="shared" si="25"/>
        <v>One-Time</v>
      </c>
    </row>
    <row r="786" spans="1:19" ht="15" customHeight="1" x14ac:dyDescent="0.3">
      <c r="A786">
        <v>785</v>
      </c>
      <c r="B786" t="s">
        <v>1168</v>
      </c>
      <c r="C786">
        <v>3306879</v>
      </c>
      <c r="D786" t="s">
        <v>114</v>
      </c>
      <c r="E786">
        <v>23</v>
      </c>
      <c r="F786" t="s">
        <v>75</v>
      </c>
      <c r="G786" s="10">
        <v>45484</v>
      </c>
      <c r="H786" t="s">
        <v>43</v>
      </c>
      <c r="I786" t="s">
        <v>82</v>
      </c>
      <c r="J786" t="s">
        <v>52</v>
      </c>
      <c r="K786" t="s">
        <v>144</v>
      </c>
      <c r="L786" t="s">
        <v>60</v>
      </c>
      <c r="M786" t="s">
        <v>122</v>
      </c>
      <c r="N786">
        <v>2</v>
      </c>
      <c r="O786" t="s">
        <v>117</v>
      </c>
      <c r="P786" s="11">
        <v>6600</v>
      </c>
      <c r="Q786" t="s">
        <v>1169</v>
      </c>
      <c r="R786" s="11">
        <f t="shared" si="24"/>
        <v>6600</v>
      </c>
      <c r="S786" t="str">
        <f t="shared" si="25"/>
        <v>One-Time</v>
      </c>
    </row>
    <row r="787" spans="1:19" ht="15" customHeight="1" x14ac:dyDescent="0.3">
      <c r="A787">
        <v>786</v>
      </c>
      <c r="B787" t="s">
        <v>1170</v>
      </c>
      <c r="C787">
        <v>3772426</v>
      </c>
      <c r="D787" t="s">
        <v>114</v>
      </c>
      <c r="E787">
        <v>44</v>
      </c>
      <c r="F787" t="s">
        <v>76</v>
      </c>
      <c r="G787" s="10">
        <v>45485</v>
      </c>
      <c r="H787" t="s">
        <v>43</v>
      </c>
      <c r="I787" t="s">
        <v>82</v>
      </c>
      <c r="J787" t="s">
        <v>52</v>
      </c>
      <c r="K787" t="s">
        <v>144</v>
      </c>
      <c r="L787" t="s">
        <v>60</v>
      </c>
      <c r="M787" t="s">
        <v>122</v>
      </c>
      <c r="N787">
        <v>8</v>
      </c>
      <c r="O787" t="s">
        <v>117</v>
      </c>
      <c r="P787" s="11">
        <v>6600</v>
      </c>
      <c r="Q787" t="s">
        <v>70</v>
      </c>
      <c r="R787" s="11">
        <f t="shared" si="24"/>
        <v>6600</v>
      </c>
      <c r="S787" t="str">
        <f t="shared" si="25"/>
        <v>One-Time</v>
      </c>
    </row>
    <row r="788" spans="1:19" ht="15" customHeight="1" x14ac:dyDescent="0.3">
      <c r="A788">
        <v>787</v>
      </c>
      <c r="B788" t="s">
        <v>1171</v>
      </c>
      <c r="C788">
        <v>6142702</v>
      </c>
      <c r="D788" t="s">
        <v>114</v>
      </c>
      <c r="E788">
        <v>27</v>
      </c>
      <c r="F788" t="s">
        <v>75</v>
      </c>
      <c r="G788" s="10">
        <v>45486</v>
      </c>
      <c r="H788" t="s">
        <v>43</v>
      </c>
      <c r="I788" t="s">
        <v>82</v>
      </c>
      <c r="J788" t="s">
        <v>52</v>
      </c>
      <c r="K788" t="s">
        <v>144</v>
      </c>
      <c r="L788" t="s">
        <v>60</v>
      </c>
      <c r="M788" t="s">
        <v>122</v>
      </c>
      <c r="N788">
        <v>4</v>
      </c>
      <c r="O788" t="s">
        <v>117</v>
      </c>
      <c r="P788" s="11">
        <v>6600</v>
      </c>
      <c r="Q788" t="s">
        <v>580</v>
      </c>
      <c r="R788" s="11">
        <f t="shared" si="24"/>
        <v>6600</v>
      </c>
      <c r="S788" t="str">
        <f t="shared" si="25"/>
        <v>One-Time</v>
      </c>
    </row>
    <row r="789" spans="1:19" ht="15" customHeight="1" x14ac:dyDescent="0.3">
      <c r="A789">
        <v>788</v>
      </c>
      <c r="B789" t="s">
        <v>1172</v>
      </c>
      <c r="C789">
        <v>9677638</v>
      </c>
      <c r="D789" t="s">
        <v>114</v>
      </c>
      <c r="E789">
        <v>46</v>
      </c>
      <c r="F789" t="s">
        <v>76</v>
      </c>
      <c r="G789" s="10">
        <v>45487</v>
      </c>
      <c r="H789" t="s">
        <v>43</v>
      </c>
      <c r="I789" t="s">
        <v>82</v>
      </c>
      <c r="J789" t="s">
        <v>52</v>
      </c>
      <c r="K789" t="s">
        <v>144</v>
      </c>
      <c r="L789" t="s">
        <v>60</v>
      </c>
      <c r="M789" t="s">
        <v>122</v>
      </c>
      <c r="N789">
        <v>5</v>
      </c>
      <c r="O789" t="s">
        <v>117</v>
      </c>
      <c r="P789" s="11">
        <v>6600</v>
      </c>
      <c r="Q789" t="s">
        <v>66</v>
      </c>
      <c r="R789" s="11">
        <f t="shared" si="24"/>
        <v>6600</v>
      </c>
      <c r="S789" t="str">
        <f t="shared" si="25"/>
        <v>One-Time</v>
      </c>
    </row>
    <row r="790" spans="1:19" ht="15" customHeight="1" x14ac:dyDescent="0.3">
      <c r="A790">
        <v>789</v>
      </c>
      <c r="B790" t="s">
        <v>1173</v>
      </c>
      <c r="C790">
        <v>3539534</v>
      </c>
      <c r="D790" t="s">
        <v>114</v>
      </c>
      <c r="E790">
        <v>29</v>
      </c>
      <c r="F790" t="s">
        <v>75</v>
      </c>
      <c r="G790" s="10">
        <v>45488</v>
      </c>
      <c r="H790" t="s">
        <v>43</v>
      </c>
      <c r="I790" t="s">
        <v>82</v>
      </c>
      <c r="J790" t="s">
        <v>52</v>
      </c>
      <c r="K790" t="s">
        <v>144</v>
      </c>
      <c r="L790" t="s">
        <v>60</v>
      </c>
      <c r="M790" t="s">
        <v>116</v>
      </c>
      <c r="N790">
        <v>6</v>
      </c>
      <c r="O790" t="s">
        <v>117</v>
      </c>
      <c r="P790" s="11">
        <v>6600</v>
      </c>
      <c r="Q790" t="s">
        <v>66</v>
      </c>
      <c r="R790" s="11">
        <f t="shared" si="24"/>
        <v>6600</v>
      </c>
      <c r="S790" t="str">
        <f t="shared" si="25"/>
        <v>One-Time</v>
      </c>
    </row>
    <row r="791" spans="1:19" ht="15" customHeight="1" x14ac:dyDescent="0.3">
      <c r="A791">
        <v>790</v>
      </c>
      <c r="B791" t="s">
        <v>1174</v>
      </c>
      <c r="C791">
        <v>3693017</v>
      </c>
      <c r="D791" t="s">
        <v>114</v>
      </c>
      <c r="E791">
        <v>21</v>
      </c>
      <c r="F791" t="s">
        <v>75</v>
      </c>
      <c r="G791" s="10">
        <v>45489</v>
      </c>
      <c r="H791" t="s">
        <v>43</v>
      </c>
      <c r="I791" t="s">
        <v>82</v>
      </c>
      <c r="J791" t="s">
        <v>52</v>
      </c>
      <c r="K791" t="s">
        <v>198</v>
      </c>
      <c r="L791" t="s">
        <v>60</v>
      </c>
      <c r="M791" t="s">
        <v>116</v>
      </c>
      <c r="N791">
        <v>31</v>
      </c>
      <c r="O791" t="s">
        <v>117</v>
      </c>
      <c r="P791" s="11">
        <v>6600</v>
      </c>
      <c r="Q791" t="s">
        <v>65</v>
      </c>
      <c r="R791" s="11">
        <f t="shared" si="24"/>
        <v>6600</v>
      </c>
      <c r="S791" t="str">
        <f t="shared" si="25"/>
        <v>One-Time</v>
      </c>
    </row>
    <row r="792" spans="1:19" ht="15" customHeight="1" x14ac:dyDescent="0.3">
      <c r="A792">
        <v>791</v>
      </c>
      <c r="B792" t="s">
        <v>1175</v>
      </c>
      <c r="C792">
        <v>908483</v>
      </c>
      <c r="D792" t="s">
        <v>114</v>
      </c>
      <c r="E792">
        <v>23</v>
      </c>
      <c r="F792" t="s">
        <v>75</v>
      </c>
      <c r="G792" s="10">
        <v>45490</v>
      </c>
      <c r="H792" t="s">
        <v>43</v>
      </c>
      <c r="I792" t="s">
        <v>85</v>
      </c>
      <c r="J792" t="s">
        <v>52</v>
      </c>
      <c r="K792" t="s">
        <v>198</v>
      </c>
      <c r="L792" t="s">
        <v>60</v>
      </c>
      <c r="M792" t="s">
        <v>116</v>
      </c>
      <c r="N792">
        <v>2</v>
      </c>
      <c r="O792" t="s">
        <v>117</v>
      </c>
      <c r="P792" s="11">
        <v>6600</v>
      </c>
      <c r="Q792" t="s">
        <v>1176</v>
      </c>
      <c r="R792" s="11">
        <f t="shared" si="24"/>
        <v>0</v>
      </c>
      <c r="S792" t="str">
        <f t="shared" si="25"/>
        <v>One-Time</v>
      </c>
    </row>
    <row r="793" spans="1:19" ht="15" customHeight="1" x14ac:dyDescent="0.3">
      <c r="A793">
        <v>792</v>
      </c>
      <c r="B793" t="s">
        <v>1177</v>
      </c>
      <c r="C793">
        <v>3061762</v>
      </c>
      <c r="D793" t="s">
        <v>114</v>
      </c>
      <c r="E793">
        <v>40</v>
      </c>
      <c r="F793" t="s">
        <v>76</v>
      </c>
      <c r="G793" s="10">
        <v>45491</v>
      </c>
      <c r="H793" t="s">
        <v>43</v>
      </c>
      <c r="I793" t="s">
        <v>82</v>
      </c>
      <c r="J793" t="s">
        <v>52</v>
      </c>
      <c r="K793" t="s">
        <v>198</v>
      </c>
      <c r="L793" t="s">
        <v>60</v>
      </c>
      <c r="M793" t="s">
        <v>116</v>
      </c>
      <c r="N793">
        <v>5</v>
      </c>
      <c r="O793" t="s">
        <v>117</v>
      </c>
      <c r="P793" s="11">
        <v>6600</v>
      </c>
      <c r="Q793" t="s">
        <v>66</v>
      </c>
      <c r="R793" s="11">
        <f t="shared" si="24"/>
        <v>6600</v>
      </c>
      <c r="S793" t="str">
        <f t="shared" si="25"/>
        <v>One-Time</v>
      </c>
    </row>
    <row r="794" spans="1:19" ht="15" customHeight="1" x14ac:dyDescent="0.3">
      <c r="A794">
        <v>793</v>
      </c>
      <c r="B794" t="s">
        <v>1178</v>
      </c>
      <c r="C794">
        <v>309970</v>
      </c>
      <c r="D794" t="s">
        <v>114</v>
      </c>
      <c r="E794">
        <v>19</v>
      </c>
      <c r="F794" t="s">
        <v>75</v>
      </c>
      <c r="G794" s="10">
        <v>45492</v>
      </c>
      <c r="H794" t="s">
        <v>43</v>
      </c>
      <c r="I794" t="s">
        <v>82</v>
      </c>
      <c r="J794" t="s">
        <v>52</v>
      </c>
      <c r="K794" t="s">
        <v>198</v>
      </c>
      <c r="L794" t="s">
        <v>60</v>
      </c>
      <c r="M794" t="s">
        <v>116</v>
      </c>
      <c r="N794">
        <v>5</v>
      </c>
      <c r="O794" t="s">
        <v>117</v>
      </c>
      <c r="P794" s="11">
        <v>6600</v>
      </c>
      <c r="Q794" t="s">
        <v>1179</v>
      </c>
      <c r="R794" s="11">
        <f t="shared" si="24"/>
        <v>6600</v>
      </c>
      <c r="S794" t="str">
        <f t="shared" si="25"/>
        <v>One-Time</v>
      </c>
    </row>
    <row r="795" spans="1:19" ht="15" customHeight="1" x14ac:dyDescent="0.3">
      <c r="A795">
        <v>794</v>
      </c>
      <c r="B795" t="s">
        <v>1180</v>
      </c>
      <c r="C795">
        <v>1438249</v>
      </c>
      <c r="D795" t="s">
        <v>114</v>
      </c>
      <c r="E795">
        <v>39</v>
      </c>
      <c r="F795" t="s">
        <v>76</v>
      </c>
      <c r="G795" s="10">
        <v>45493</v>
      </c>
      <c r="H795" t="s">
        <v>43</v>
      </c>
      <c r="I795" t="s">
        <v>82</v>
      </c>
      <c r="J795" t="s">
        <v>52</v>
      </c>
      <c r="K795" t="s">
        <v>198</v>
      </c>
      <c r="L795" t="s">
        <v>60</v>
      </c>
      <c r="M795" t="s">
        <v>116</v>
      </c>
      <c r="N795">
        <v>8</v>
      </c>
      <c r="O795" t="s">
        <v>117</v>
      </c>
      <c r="P795" s="11">
        <v>6600</v>
      </c>
      <c r="Q795" t="s">
        <v>902</v>
      </c>
      <c r="R795" s="11">
        <f t="shared" si="24"/>
        <v>6600</v>
      </c>
      <c r="S795" t="str">
        <f t="shared" si="25"/>
        <v>One-Time</v>
      </c>
    </row>
    <row r="796" spans="1:19" ht="15" customHeight="1" x14ac:dyDescent="0.3">
      <c r="A796">
        <v>795</v>
      </c>
      <c r="B796" t="s">
        <v>1181</v>
      </c>
      <c r="C796">
        <v>1877949</v>
      </c>
      <c r="D796" t="s">
        <v>114</v>
      </c>
      <c r="E796">
        <v>43</v>
      </c>
      <c r="F796" t="s">
        <v>76</v>
      </c>
      <c r="G796" s="10">
        <v>45494</v>
      </c>
      <c r="H796" t="s">
        <v>43</v>
      </c>
      <c r="I796" t="s">
        <v>82</v>
      </c>
      <c r="J796" t="s">
        <v>52</v>
      </c>
      <c r="K796" t="s">
        <v>198</v>
      </c>
      <c r="L796" t="s">
        <v>60</v>
      </c>
      <c r="M796" t="s">
        <v>116</v>
      </c>
      <c r="N796">
        <v>9</v>
      </c>
      <c r="O796" t="s">
        <v>117</v>
      </c>
      <c r="P796" s="11">
        <v>6600</v>
      </c>
      <c r="Q796" t="s">
        <v>65</v>
      </c>
      <c r="R796" s="11">
        <f t="shared" si="24"/>
        <v>6600</v>
      </c>
      <c r="S796" t="str">
        <f t="shared" si="25"/>
        <v>One-Time</v>
      </c>
    </row>
    <row r="797" spans="1:19" ht="15" customHeight="1" x14ac:dyDescent="0.3">
      <c r="A797">
        <v>796</v>
      </c>
      <c r="B797" t="s">
        <v>1182</v>
      </c>
      <c r="C797">
        <v>9045024</v>
      </c>
      <c r="D797" t="s">
        <v>114</v>
      </c>
      <c r="E797">
        <v>25</v>
      </c>
      <c r="F797" t="s">
        <v>75</v>
      </c>
      <c r="G797" s="10">
        <v>45495</v>
      </c>
      <c r="H797" t="s">
        <v>43</v>
      </c>
      <c r="I797" t="s">
        <v>82</v>
      </c>
      <c r="J797" t="s">
        <v>52</v>
      </c>
      <c r="K797" t="s">
        <v>198</v>
      </c>
      <c r="L797" t="s">
        <v>60</v>
      </c>
      <c r="M797" t="s">
        <v>116</v>
      </c>
      <c r="N797">
        <v>8</v>
      </c>
      <c r="O797" t="s">
        <v>117</v>
      </c>
      <c r="P797" s="11">
        <v>6600</v>
      </c>
      <c r="Q797" t="s">
        <v>275</v>
      </c>
      <c r="R797" s="11">
        <f t="shared" si="24"/>
        <v>6600</v>
      </c>
      <c r="S797" t="str">
        <f t="shared" si="25"/>
        <v>One-Time</v>
      </c>
    </row>
    <row r="798" spans="1:19" ht="15" customHeight="1" x14ac:dyDescent="0.3">
      <c r="A798">
        <v>797</v>
      </c>
      <c r="B798" t="s">
        <v>1183</v>
      </c>
      <c r="C798">
        <v>7001559</v>
      </c>
      <c r="D798" t="s">
        <v>114</v>
      </c>
      <c r="E798">
        <v>72</v>
      </c>
      <c r="F798" t="s">
        <v>77</v>
      </c>
      <c r="G798" s="10">
        <v>45496</v>
      </c>
      <c r="H798" t="s">
        <v>43</v>
      </c>
      <c r="I798" t="s">
        <v>82</v>
      </c>
      <c r="J798" t="s">
        <v>52</v>
      </c>
      <c r="K798" t="s">
        <v>198</v>
      </c>
      <c r="L798" t="s">
        <v>60</v>
      </c>
      <c r="M798" t="s">
        <v>116</v>
      </c>
      <c r="N798">
        <v>3</v>
      </c>
      <c r="O798" t="s">
        <v>117</v>
      </c>
      <c r="P798" s="11">
        <v>6600</v>
      </c>
      <c r="Q798" t="s">
        <v>487</v>
      </c>
      <c r="R798" s="11">
        <f t="shared" si="24"/>
        <v>6600</v>
      </c>
      <c r="S798" t="str">
        <f t="shared" si="25"/>
        <v>One-Time</v>
      </c>
    </row>
    <row r="799" spans="1:19" ht="15" customHeight="1" x14ac:dyDescent="0.3">
      <c r="A799">
        <v>798</v>
      </c>
      <c r="B799" t="s">
        <v>1184</v>
      </c>
      <c r="C799">
        <v>9419615</v>
      </c>
      <c r="D799" t="s">
        <v>114</v>
      </c>
      <c r="E799">
        <v>21</v>
      </c>
      <c r="F799" t="s">
        <v>75</v>
      </c>
      <c r="G799" s="10">
        <v>45497</v>
      </c>
      <c r="H799" t="s">
        <v>43</v>
      </c>
      <c r="I799" t="s">
        <v>82</v>
      </c>
      <c r="J799" t="s">
        <v>52</v>
      </c>
      <c r="K799" t="s">
        <v>198</v>
      </c>
      <c r="L799" t="s">
        <v>60</v>
      </c>
      <c r="M799" t="s">
        <v>116</v>
      </c>
      <c r="N799">
        <v>4</v>
      </c>
      <c r="O799" t="s">
        <v>117</v>
      </c>
      <c r="P799" s="11">
        <v>6600</v>
      </c>
      <c r="Q799" t="s">
        <v>265</v>
      </c>
      <c r="R799" s="11">
        <f t="shared" si="24"/>
        <v>6600</v>
      </c>
      <c r="S799" t="str">
        <f t="shared" si="25"/>
        <v>One-Time</v>
      </c>
    </row>
    <row r="800" spans="1:19" ht="15" customHeight="1" x14ac:dyDescent="0.3">
      <c r="A800">
        <v>799</v>
      </c>
      <c r="B800" t="s">
        <v>1185</v>
      </c>
      <c r="C800">
        <v>472980</v>
      </c>
      <c r="D800" t="s">
        <v>114</v>
      </c>
      <c r="E800">
        <v>61</v>
      </c>
      <c r="F800" t="s">
        <v>77</v>
      </c>
      <c r="G800" s="10">
        <v>45498</v>
      </c>
      <c r="H800" t="s">
        <v>43</v>
      </c>
      <c r="I800" t="s">
        <v>82</v>
      </c>
      <c r="J800" t="s">
        <v>52</v>
      </c>
      <c r="K800" t="s">
        <v>198</v>
      </c>
      <c r="L800" t="s">
        <v>60</v>
      </c>
      <c r="M800" t="s">
        <v>116</v>
      </c>
      <c r="N800">
        <v>4</v>
      </c>
      <c r="O800" t="s">
        <v>117</v>
      </c>
      <c r="P800" s="11">
        <v>6600</v>
      </c>
      <c r="Q800" t="s">
        <v>1186</v>
      </c>
      <c r="R800" s="11">
        <f t="shared" si="24"/>
        <v>6600</v>
      </c>
      <c r="S800" t="str">
        <f t="shared" si="25"/>
        <v>One-Time</v>
      </c>
    </row>
    <row r="801" spans="1:19" ht="15" customHeight="1" x14ac:dyDescent="0.3">
      <c r="A801">
        <v>800</v>
      </c>
      <c r="B801" t="s">
        <v>1187</v>
      </c>
      <c r="C801">
        <v>2179320</v>
      </c>
      <c r="D801" t="s">
        <v>114</v>
      </c>
      <c r="E801">
        <v>36</v>
      </c>
      <c r="F801" t="s">
        <v>76</v>
      </c>
      <c r="G801" s="10">
        <v>45499</v>
      </c>
      <c r="H801" t="s">
        <v>43</v>
      </c>
      <c r="I801" t="s">
        <v>82</v>
      </c>
      <c r="J801" t="s">
        <v>52</v>
      </c>
      <c r="K801" t="s">
        <v>198</v>
      </c>
      <c r="L801" t="s">
        <v>60</v>
      </c>
      <c r="M801" t="s">
        <v>116</v>
      </c>
      <c r="N801">
        <v>9</v>
      </c>
      <c r="O801" t="s">
        <v>117</v>
      </c>
      <c r="P801" s="11">
        <v>6600</v>
      </c>
      <c r="Q801" t="s">
        <v>1188</v>
      </c>
      <c r="R801" s="11">
        <f t="shared" si="24"/>
        <v>6600</v>
      </c>
      <c r="S801" t="str">
        <f t="shared" si="25"/>
        <v>One-Time</v>
      </c>
    </row>
    <row r="802" spans="1:19" ht="15" customHeight="1" x14ac:dyDescent="0.3">
      <c r="A802">
        <v>801</v>
      </c>
      <c r="B802" t="s">
        <v>1189</v>
      </c>
      <c r="C802">
        <v>2051832</v>
      </c>
      <c r="D802" t="s">
        <v>114</v>
      </c>
      <c r="E802">
        <v>46</v>
      </c>
      <c r="F802" t="s">
        <v>76</v>
      </c>
      <c r="G802" s="10">
        <v>45500</v>
      </c>
      <c r="H802" t="s">
        <v>43</v>
      </c>
      <c r="I802" t="s">
        <v>82</v>
      </c>
      <c r="J802" t="s">
        <v>52</v>
      </c>
      <c r="K802" t="s">
        <v>198</v>
      </c>
      <c r="L802" t="s">
        <v>60</v>
      </c>
      <c r="M802" t="s">
        <v>116</v>
      </c>
      <c r="N802">
        <v>8</v>
      </c>
      <c r="O802" t="s">
        <v>117</v>
      </c>
      <c r="P802" s="11">
        <v>6600</v>
      </c>
      <c r="Q802" t="s">
        <v>1190</v>
      </c>
      <c r="R802" s="11">
        <f t="shared" si="24"/>
        <v>6600</v>
      </c>
      <c r="S802" t="str">
        <f t="shared" si="25"/>
        <v>One-Time</v>
      </c>
    </row>
    <row r="803" spans="1:19" ht="15" customHeight="1" x14ac:dyDescent="0.3">
      <c r="A803">
        <v>802</v>
      </c>
      <c r="B803" t="s">
        <v>1191</v>
      </c>
      <c r="C803">
        <v>1945413</v>
      </c>
      <c r="D803" t="s">
        <v>114</v>
      </c>
      <c r="E803">
        <v>33</v>
      </c>
      <c r="F803" t="s">
        <v>76</v>
      </c>
      <c r="G803" s="10">
        <v>45501</v>
      </c>
      <c r="H803" t="s">
        <v>43</v>
      </c>
      <c r="I803" t="s">
        <v>85</v>
      </c>
      <c r="J803" t="s">
        <v>52</v>
      </c>
      <c r="K803" t="s">
        <v>198</v>
      </c>
      <c r="L803" t="s">
        <v>60</v>
      </c>
      <c r="M803" t="s">
        <v>116</v>
      </c>
      <c r="N803">
        <v>3</v>
      </c>
      <c r="O803" t="s">
        <v>117</v>
      </c>
      <c r="P803" s="11">
        <v>6600</v>
      </c>
      <c r="Q803" t="s">
        <v>1192</v>
      </c>
      <c r="R803" s="11">
        <f t="shared" si="24"/>
        <v>0</v>
      </c>
      <c r="S803" t="str">
        <f t="shared" si="25"/>
        <v>One-Time</v>
      </c>
    </row>
    <row r="804" spans="1:19" ht="15" customHeight="1" x14ac:dyDescent="0.3">
      <c r="A804">
        <v>803</v>
      </c>
      <c r="B804" t="s">
        <v>1193</v>
      </c>
      <c r="C804">
        <v>8267857</v>
      </c>
      <c r="D804" t="s">
        <v>114</v>
      </c>
      <c r="E804">
        <v>46</v>
      </c>
      <c r="F804" t="s">
        <v>76</v>
      </c>
      <c r="G804" s="10">
        <v>45502</v>
      </c>
      <c r="H804" t="s">
        <v>43</v>
      </c>
      <c r="I804" t="s">
        <v>82</v>
      </c>
      <c r="J804" t="s">
        <v>52</v>
      </c>
      <c r="K804" t="s">
        <v>198</v>
      </c>
      <c r="L804" t="s">
        <v>60</v>
      </c>
      <c r="M804" t="s">
        <v>116</v>
      </c>
      <c r="N804">
        <v>6</v>
      </c>
      <c r="O804" t="s">
        <v>117</v>
      </c>
      <c r="P804" s="11">
        <v>6900</v>
      </c>
      <c r="Q804" t="s">
        <v>1194</v>
      </c>
      <c r="R804" s="11">
        <f t="shared" si="24"/>
        <v>6900</v>
      </c>
      <c r="S804" t="str">
        <f t="shared" si="25"/>
        <v>One-Time</v>
      </c>
    </row>
    <row r="805" spans="1:19" ht="15" customHeight="1" x14ac:dyDescent="0.3">
      <c r="A805">
        <v>804</v>
      </c>
      <c r="B805" t="s">
        <v>1195</v>
      </c>
      <c r="C805">
        <v>4748694</v>
      </c>
      <c r="D805" t="s">
        <v>114</v>
      </c>
      <c r="E805">
        <v>26</v>
      </c>
      <c r="F805" t="s">
        <v>75</v>
      </c>
      <c r="G805" s="10">
        <v>45503</v>
      </c>
      <c r="H805" t="s">
        <v>43</v>
      </c>
      <c r="I805" t="s">
        <v>82</v>
      </c>
      <c r="J805" t="s">
        <v>52</v>
      </c>
      <c r="K805" t="s">
        <v>171</v>
      </c>
      <c r="L805" t="s">
        <v>60</v>
      </c>
      <c r="M805" t="s">
        <v>116</v>
      </c>
      <c r="N805">
        <v>9</v>
      </c>
      <c r="O805" t="s">
        <v>117</v>
      </c>
      <c r="P805" s="11">
        <v>6900</v>
      </c>
      <c r="Q805" t="s">
        <v>66</v>
      </c>
      <c r="R805" s="11">
        <f t="shared" si="24"/>
        <v>6900</v>
      </c>
      <c r="S805" t="str">
        <f t="shared" si="25"/>
        <v>One-Time</v>
      </c>
    </row>
    <row r="806" spans="1:19" ht="15" customHeight="1" x14ac:dyDescent="0.3">
      <c r="A806">
        <v>805</v>
      </c>
      <c r="B806" t="s">
        <v>1196</v>
      </c>
      <c r="C806">
        <v>2831295</v>
      </c>
      <c r="D806" t="s">
        <v>114</v>
      </c>
      <c r="E806">
        <v>30</v>
      </c>
      <c r="F806" t="s">
        <v>76</v>
      </c>
      <c r="G806" s="10">
        <v>45504</v>
      </c>
      <c r="H806" t="s">
        <v>43</v>
      </c>
      <c r="I806" t="s">
        <v>82</v>
      </c>
      <c r="J806" t="s">
        <v>52</v>
      </c>
      <c r="K806" t="s">
        <v>171</v>
      </c>
      <c r="L806" t="s">
        <v>60</v>
      </c>
      <c r="M806" t="s">
        <v>116</v>
      </c>
      <c r="N806">
        <v>2</v>
      </c>
      <c r="O806" t="s">
        <v>117</v>
      </c>
      <c r="P806" s="11">
        <v>6900</v>
      </c>
      <c r="Q806" t="s">
        <v>67</v>
      </c>
      <c r="R806" s="11">
        <f t="shared" si="24"/>
        <v>6900</v>
      </c>
      <c r="S806" t="str">
        <f t="shared" si="25"/>
        <v>One-Time</v>
      </c>
    </row>
    <row r="807" spans="1:19" ht="15" customHeight="1" x14ac:dyDescent="0.3">
      <c r="A807">
        <v>806</v>
      </c>
      <c r="B807" t="s">
        <v>1197</v>
      </c>
      <c r="C807">
        <v>5974139</v>
      </c>
      <c r="D807" t="s">
        <v>114</v>
      </c>
      <c r="E807">
        <v>52</v>
      </c>
      <c r="F807" t="s">
        <v>77</v>
      </c>
      <c r="G807" s="10">
        <v>45505</v>
      </c>
      <c r="H807" t="s">
        <v>44</v>
      </c>
      <c r="I807" t="s">
        <v>82</v>
      </c>
      <c r="J807" t="s">
        <v>52</v>
      </c>
      <c r="K807" t="s">
        <v>171</v>
      </c>
      <c r="L807" t="s">
        <v>60</v>
      </c>
      <c r="M807" t="s">
        <v>116</v>
      </c>
      <c r="N807">
        <v>5</v>
      </c>
      <c r="O807" t="s">
        <v>117</v>
      </c>
      <c r="P807" s="11">
        <v>6900</v>
      </c>
      <c r="Q807" t="s">
        <v>1198</v>
      </c>
      <c r="R807" s="11">
        <f t="shared" si="24"/>
        <v>6900</v>
      </c>
      <c r="S807" t="str">
        <f t="shared" si="25"/>
        <v>One-Time</v>
      </c>
    </row>
    <row r="808" spans="1:19" ht="15" customHeight="1" x14ac:dyDescent="0.3">
      <c r="A808">
        <v>807</v>
      </c>
      <c r="B808" t="s">
        <v>1199</v>
      </c>
      <c r="C808">
        <v>7598776</v>
      </c>
      <c r="D808" t="s">
        <v>114</v>
      </c>
      <c r="E808">
        <v>47</v>
      </c>
      <c r="F808" t="s">
        <v>76</v>
      </c>
      <c r="G808" s="10">
        <v>45506</v>
      </c>
      <c r="H808" t="s">
        <v>44</v>
      </c>
      <c r="I808" t="s">
        <v>82</v>
      </c>
      <c r="J808" t="s">
        <v>52</v>
      </c>
      <c r="K808" t="s">
        <v>171</v>
      </c>
      <c r="L808" t="s">
        <v>60</v>
      </c>
      <c r="M808" t="s">
        <v>116</v>
      </c>
      <c r="N808">
        <v>6</v>
      </c>
      <c r="O808" t="s">
        <v>117</v>
      </c>
      <c r="P808" s="11">
        <v>6900</v>
      </c>
      <c r="Q808" t="s">
        <v>1200</v>
      </c>
      <c r="R808" s="11">
        <f t="shared" si="24"/>
        <v>6900</v>
      </c>
      <c r="S808" t="str">
        <f t="shared" si="25"/>
        <v>One-Time</v>
      </c>
    </row>
    <row r="809" spans="1:19" ht="15" customHeight="1" x14ac:dyDescent="0.3">
      <c r="A809">
        <v>808</v>
      </c>
      <c r="B809" t="s">
        <v>1201</v>
      </c>
      <c r="C809">
        <v>7930396</v>
      </c>
      <c r="D809" t="s">
        <v>114</v>
      </c>
      <c r="E809">
        <v>21</v>
      </c>
      <c r="F809" t="s">
        <v>75</v>
      </c>
      <c r="G809" s="10">
        <v>45507</v>
      </c>
      <c r="H809" t="s">
        <v>44</v>
      </c>
      <c r="I809" t="s">
        <v>82</v>
      </c>
      <c r="J809" t="s">
        <v>52</v>
      </c>
      <c r="K809" t="s">
        <v>171</v>
      </c>
      <c r="L809" t="s">
        <v>60</v>
      </c>
      <c r="M809" t="s">
        <v>116</v>
      </c>
      <c r="N809">
        <v>9</v>
      </c>
      <c r="O809" t="s">
        <v>117</v>
      </c>
      <c r="P809" s="11">
        <v>6900</v>
      </c>
      <c r="Q809" t="s">
        <v>62</v>
      </c>
      <c r="R809" s="11">
        <f t="shared" si="24"/>
        <v>6900</v>
      </c>
      <c r="S809" t="str">
        <f t="shared" si="25"/>
        <v>One-Time</v>
      </c>
    </row>
    <row r="810" spans="1:19" ht="15" customHeight="1" x14ac:dyDescent="0.3">
      <c r="A810">
        <v>809</v>
      </c>
      <c r="B810" t="s">
        <v>1202</v>
      </c>
      <c r="C810">
        <v>3709623</v>
      </c>
      <c r="D810" t="s">
        <v>114</v>
      </c>
      <c r="E810">
        <v>29</v>
      </c>
      <c r="F810" t="s">
        <v>75</v>
      </c>
      <c r="G810" s="10">
        <v>45508</v>
      </c>
      <c r="H810" t="s">
        <v>44</v>
      </c>
      <c r="I810" t="s">
        <v>82</v>
      </c>
      <c r="J810" t="s">
        <v>52</v>
      </c>
      <c r="K810" t="s">
        <v>171</v>
      </c>
      <c r="L810" t="s">
        <v>60</v>
      </c>
      <c r="M810" t="s">
        <v>116</v>
      </c>
      <c r="N810">
        <v>7</v>
      </c>
      <c r="O810" t="s">
        <v>117</v>
      </c>
      <c r="P810" s="11">
        <v>6900</v>
      </c>
      <c r="Q810" t="s">
        <v>1203</v>
      </c>
      <c r="R810" s="11">
        <f t="shared" si="24"/>
        <v>6900</v>
      </c>
      <c r="S810" t="str">
        <f t="shared" si="25"/>
        <v>Repeat</v>
      </c>
    </row>
    <row r="811" spans="1:19" ht="15" customHeight="1" x14ac:dyDescent="0.3">
      <c r="A811">
        <v>810</v>
      </c>
      <c r="B811" t="s">
        <v>1202</v>
      </c>
      <c r="C811">
        <v>3709623</v>
      </c>
      <c r="D811" t="s">
        <v>114</v>
      </c>
      <c r="E811">
        <v>76</v>
      </c>
      <c r="F811" t="s">
        <v>77</v>
      </c>
      <c r="G811" s="10">
        <v>45509</v>
      </c>
      <c r="H811" t="s">
        <v>44</v>
      </c>
      <c r="I811" t="s">
        <v>82</v>
      </c>
      <c r="J811" t="s">
        <v>52</v>
      </c>
      <c r="K811" t="s">
        <v>171</v>
      </c>
      <c r="L811" t="s">
        <v>60</v>
      </c>
      <c r="M811" t="s">
        <v>116</v>
      </c>
      <c r="N811">
        <v>81</v>
      </c>
      <c r="O811" t="s">
        <v>117</v>
      </c>
      <c r="P811" s="11">
        <v>6900</v>
      </c>
      <c r="Q811" t="s">
        <v>1204</v>
      </c>
      <c r="R811" s="11">
        <f t="shared" si="24"/>
        <v>6900</v>
      </c>
      <c r="S811" t="str">
        <f t="shared" si="25"/>
        <v>Repeat</v>
      </c>
    </row>
    <row r="812" spans="1:19" ht="15" customHeight="1" x14ac:dyDescent="0.3">
      <c r="A812">
        <v>811</v>
      </c>
      <c r="B812" t="s">
        <v>1205</v>
      </c>
      <c r="C812">
        <v>9721972</v>
      </c>
      <c r="D812" t="s">
        <v>114</v>
      </c>
      <c r="E812">
        <v>30</v>
      </c>
      <c r="F812" t="s">
        <v>76</v>
      </c>
      <c r="G812" s="10">
        <v>45510</v>
      </c>
      <c r="H812" t="s">
        <v>44</v>
      </c>
      <c r="I812" t="s">
        <v>82</v>
      </c>
      <c r="J812" t="s">
        <v>52</v>
      </c>
      <c r="K812" t="s">
        <v>171</v>
      </c>
      <c r="L812" t="s">
        <v>60</v>
      </c>
      <c r="M812" t="s">
        <v>116</v>
      </c>
      <c r="N812">
        <v>24</v>
      </c>
      <c r="O812" t="s">
        <v>117</v>
      </c>
      <c r="P812" s="11">
        <v>6900</v>
      </c>
      <c r="Q812" t="s">
        <v>379</v>
      </c>
      <c r="R812" s="11">
        <f t="shared" si="24"/>
        <v>6900</v>
      </c>
      <c r="S812" t="str">
        <f t="shared" si="25"/>
        <v>One-Time</v>
      </c>
    </row>
    <row r="813" spans="1:19" ht="15" customHeight="1" x14ac:dyDescent="0.3">
      <c r="A813">
        <v>812</v>
      </c>
      <c r="B813" t="s">
        <v>1206</v>
      </c>
      <c r="C813">
        <v>7604634</v>
      </c>
      <c r="D813" t="s">
        <v>114</v>
      </c>
      <c r="E813">
        <v>51</v>
      </c>
      <c r="F813" t="s">
        <v>77</v>
      </c>
      <c r="G813" s="10">
        <v>45511</v>
      </c>
      <c r="H813" t="s">
        <v>44</v>
      </c>
      <c r="I813" t="s">
        <v>82</v>
      </c>
      <c r="J813" t="s">
        <v>52</v>
      </c>
      <c r="K813" t="s">
        <v>171</v>
      </c>
      <c r="L813" t="s">
        <v>60</v>
      </c>
      <c r="M813" t="s">
        <v>116</v>
      </c>
      <c r="N813">
        <v>56</v>
      </c>
      <c r="O813" t="s">
        <v>117</v>
      </c>
      <c r="P813" s="11">
        <v>6900</v>
      </c>
      <c r="Q813" t="s">
        <v>71</v>
      </c>
      <c r="R813" s="11">
        <f t="shared" si="24"/>
        <v>6900</v>
      </c>
      <c r="S813" t="str">
        <f t="shared" si="25"/>
        <v>One-Time</v>
      </c>
    </row>
    <row r="814" spans="1:19" ht="15" customHeight="1" x14ac:dyDescent="0.3">
      <c r="A814">
        <v>813</v>
      </c>
      <c r="B814" t="s">
        <v>1207</v>
      </c>
      <c r="C814">
        <v>3948279</v>
      </c>
      <c r="D814" t="s">
        <v>114</v>
      </c>
      <c r="E814">
        <v>36</v>
      </c>
      <c r="F814" t="s">
        <v>76</v>
      </c>
      <c r="G814" s="10">
        <v>45512</v>
      </c>
      <c r="H814" t="s">
        <v>44</v>
      </c>
      <c r="I814" t="s">
        <v>82</v>
      </c>
      <c r="J814" t="s">
        <v>52</v>
      </c>
      <c r="K814" t="s">
        <v>171</v>
      </c>
      <c r="L814" t="s">
        <v>60</v>
      </c>
      <c r="M814" t="s">
        <v>116</v>
      </c>
      <c r="N814">
        <v>55</v>
      </c>
      <c r="O814" t="s">
        <v>117</v>
      </c>
      <c r="P814" s="11">
        <v>6900</v>
      </c>
      <c r="Q814" t="s">
        <v>470</v>
      </c>
      <c r="R814" s="11">
        <f t="shared" si="24"/>
        <v>6900</v>
      </c>
      <c r="S814" t="str">
        <f t="shared" si="25"/>
        <v>One-Time</v>
      </c>
    </row>
    <row r="815" spans="1:19" ht="15" customHeight="1" x14ac:dyDescent="0.3">
      <c r="A815">
        <v>814</v>
      </c>
      <c r="B815" t="s">
        <v>1208</v>
      </c>
      <c r="C815">
        <v>3319282</v>
      </c>
      <c r="D815" t="s">
        <v>114</v>
      </c>
      <c r="E815">
        <v>20</v>
      </c>
      <c r="F815" t="s">
        <v>75</v>
      </c>
      <c r="G815" s="10">
        <v>45513</v>
      </c>
      <c r="H815" t="s">
        <v>44</v>
      </c>
      <c r="I815" t="s">
        <v>82</v>
      </c>
      <c r="J815" t="s">
        <v>52</v>
      </c>
      <c r="K815" t="s">
        <v>171</v>
      </c>
      <c r="L815" t="s">
        <v>60</v>
      </c>
      <c r="M815" t="s">
        <v>116</v>
      </c>
      <c r="N815">
        <v>5</v>
      </c>
      <c r="O815" t="s">
        <v>117</v>
      </c>
      <c r="P815" s="11">
        <v>6900</v>
      </c>
      <c r="Q815" t="s">
        <v>298</v>
      </c>
      <c r="R815" s="11">
        <f t="shared" si="24"/>
        <v>6900</v>
      </c>
      <c r="S815" t="str">
        <f t="shared" si="25"/>
        <v>One-Time</v>
      </c>
    </row>
    <row r="816" spans="1:19" ht="15" customHeight="1" x14ac:dyDescent="0.3">
      <c r="A816">
        <v>815</v>
      </c>
      <c r="B816" t="s">
        <v>1209</v>
      </c>
      <c r="C816">
        <v>3567779</v>
      </c>
      <c r="D816" t="s">
        <v>114</v>
      </c>
      <c r="E816">
        <v>37</v>
      </c>
      <c r="F816" t="s">
        <v>76</v>
      </c>
      <c r="G816" s="10">
        <v>45514</v>
      </c>
      <c r="H816" t="s">
        <v>44</v>
      </c>
      <c r="I816" t="s">
        <v>82</v>
      </c>
      <c r="J816" t="s">
        <v>52</v>
      </c>
      <c r="K816" t="s">
        <v>171</v>
      </c>
      <c r="L816" t="s">
        <v>60</v>
      </c>
      <c r="M816" t="s">
        <v>122</v>
      </c>
      <c r="N816">
        <v>4</v>
      </c>
      <c r="O816" t="s">
        <v>117</v>
      </c>
      <c r="P816" s="11">
        <v>6900</v>
      </c>
      <c r="Q816" t="s">
        <v>62</v>
      </c>
      <c r="R816" s="11">
        <f t="shared" si="24"/>
        <v>6900</v>
      </c>
      <c r="S816" t="str">
        <f t="shared" si="25"/>
        <v>One-Time</v>
      </c>
    </row>
    <row r="817" spans="1:19" ht="15" customHeight="1" x14ac:dyDescent="0.3">
      <c r="A817">
        <v>816</v>
      </c>
      <c r="B817" t="s">
        <v>1210</v>
      </c>
      <c r="C817">
        <v>5569066</v>
      </c>
      <c r="D817" t="s">
        <v>114</v>
      </c>
      <c r="E817">
        <v>35</v>
      </c>
      <c r="F817" t="s">
        <v>76</v>
      </c>
      <c r="G817" s="10">
        <v>45515</v>
      </c>
      <c r="H817" t="s">
        <v>44</v>
      </c>
      <c r="I817" t="s">
        <v>82</v>
      </c>
      <c r="J817" t="s">
        <v>52</v>
      </c>
      <c r="K817" t="s">
        <v>171</v>
      </c>
      <c r="L817" t="s">
        <v>60</v>
      </c>
      <c r="M817" t="s">
        <v>122</v>
      </c>
      <c r="N817">
        <v>8</v>
      </c>
      <c r="O817" t="s">
        <v>117</v>
      </c>
      <c r="P817" s="11">
        <v>6900</v>
      </c>
      <c r="Q817" t="s">
        <v>62</v>
      </c>
      <c r="R817" s="11">
        <f t="shared" si="24"/>
        <v>6900</v>
      </c>
      <c r="S817" t="str">
        <f t="shared" si="25"/>
        <v>One-Time</v>
      </c>
    </row>
    <row r="818" spans="1:19" ht="15" customHeight="1" x14ac:dyDescent="0.3">
      <c r="A818">
        <v>817</v>
      </c>
      <c r="B818" t="s">
        <v>1211</v>
      </c>
      <c r="C818">
        <v>3424885</v>
      </c>
      <c r="D818" t="s">
        <v>114</v>
      </c>
      <c r="E818">
        <v>29</v>
      </c>
      <c r="F818" t="s">
        <v>75</v>
      </c>
      <c r="G818" s="10">
        <v>45516</v>
      </c>
      <c r="H818" t="s">
        <v>44</v>
      </c>
      <c r="I818" t="s">
        <v>85</v>
      </c>
      <c r="J818" t="s">
        <v>52</v>
      </c>
      <c r="K818" t="s">
        <v>171</v>
      </c>
      <c r="L818" t="s">
        <v>60</v>
      </c>
      <c r="M818" t="s">
        <v>122</v>
      </c>
      <c r="N818">
        <v>7</v>
      </c>
      <c r="O818" t="s">
        <v>117</v>
      </c>
      <c r="P818" s="11">
        <v>6900</v>
      </c>
      <c r="Q818" t="s">
        <v>1212</v>
      </c>
      <c r="R818" s="11">
        <f t="shared" si="24"/>
        <v>0</v>
      </c>
      <c r="S818" t="str">
        <f t="shared" si="25"/>
        <v>One-Time</v>
      </c>
    </row>
    <row r="819" spans="1:19" ht="15" customHeight="1" x14ac:dyDescent="0.3">
      <c r="A819">
        <v>818</v>
      </c>
      <c r="B819" t="s">
        <v>1213</v>
      </c>
      <c r="C819">
        <v>4504136</v>
      </c>
      <c r="D819" t="s">
        <v>114</v>
      </c>
      <c r="E819">
        <v>25</v>
      </c>
      <c r="F819" t="s">
        <v>75</v>
      </c>
      <c r="G819" s="10">
        <v>45517</v>
      </c>
      <c r="H819" t="s">
        <v>44</v>
      </c>
      <c r="I819" t="s">
        <v>82</v>
      </c>
      <c r="J819" t="s">
        <v>52</v>
      </c>
      <c r="K819" t="s">
        <v>171</v>
      </c>
      <c r="L819" t="s">
        <v>60</v>
      </c>
      <c r="M819" t="s">
        <v>122</v>
      </c>
      <c r="N819">
        <v>9</v>
      </c>
      <c r="O819" t="s">
        <v>117</v>
      </c>
      <c r="P819" s="11">
        <v>6900</v>
      </c>
      <c r="Q819" t="s">
        <v>313</v>
      </c>
      <c r="R819" s="11">
        <f t="shared" si="24"/>
        <v>6900</v>
      </c>
      <c r="S819" t="str">
        <f t="shared" si="25"/>
        <v>One-Time</v>
      </c>
    </row>
    <row r="820" spans="1:19" ht="15" customHeight="1" x14ac:dyDescent="0.3">
      <c r="A820">
        <v>819</v>
      </c>
      <c r="B820" t="s">
        <v>1214</v>
      </c>
      <c r="C820">
        <v>4416496</v>
      </c>
      <c r="D820" t="s">
        <v>114</v>
      </c>
      <c r="E820">
        <v>32</v>
      </c>
      <c r="F820" t="s">
        <v>76</v>
      </c>
      <c r="G820" s="10">
        <v>45518</v>
      </c>
      <c r="H820" t="s">
        <v>44</v>
      </c>
      <c r="I820" t="s">
        <v>82</v>
      </c>
      <c r="J820" t="s">
        <v>52</v>
      </c>
      <c r="K820" t="s">
        <v>115</v>
      </c>
      <c r="L820" t="s">
        <v>60</v>
      </c>
      <c r="M820" t="s">
        <v>122</v>
      </c>
      <c r="N820">
        <v>3</v>
      </c>
      <c r="O820" t="s">
        <v>117</v>
      </c>
      <c r="P820" s="11">
        <v>6900</v>
      </c>
      <c r="Q820" t="s">
        <v>307</v>
      </c>
      <c r="R820" s="11">
        <f t="shared" si="24"/>
        <v>6900</v>
      </c>
      <c r="S820" t="str">
        <f t="shared" si="25"/>
        <v>One-Time</v>
      </c>
    </row>
    <row r="821" spans="1:19" ht="15" customHeight="1" x14ac:dyDescent="0.3">
      <c r="A821">
        <v>820</v>
      </c>
      <c r="B821" t="s">
        <v>1215</v>
      </c>
      <c r="C821">
        <v>1440289</v>
      </c>
      <c r="D821" t="s">
        <v>114</v>
      </c>
      <c r="E821">
        <v>19</v>
      </c>
      <c r="F821" t="s">
        <v>75</v>
      </c>
      <c r="G821" s="10">
        <v>45507</v>
      </c>
      <c r="H821" t="s">
        <v>44</v>
      </c>
      <c r="I821" t="s">
        <v>82</v>
      </c>
      <c r="J821" t="s">
        <v>52</v>
      </c>
      <c r="K821" t="s">
        <v>115</v>
      </c>
      <c r="L821" t="s">
        <v>60</v>
      </c>
      <c r="M821" t="s">
        <v>122</v>
      </c>
      <c r="N821">
        <v>32</v>
      </c>
      <c r="O821" t="s">
        <v>117</v>
      </c>
      <c r="P821" s="11">
        <v>6900</v>
      </c>
      <c r="Q821" t="s">
        <v>550</v>
      </c>
      <c r="R821" s="11">
        <f t="shared" si="24"/>
        <v>6900</v>
      </c>
      <c r="S821" t="str">
        <f t="shared" si="25"/>
        <v>One-Time</v>
      </c>
    </row>
    <row r="822" spans="1:19" ht="15" customHeight="1" x14ac:dyDescent="0.3">
      <c r="A822">
        <v>821</v>
      </c>
      <c r="B822" t="s">
        <v>1216</v>
      </c>
      <c r="C822">
        <v>5195596</v>
      </c>
      <c r="D822" t="s">
        <v>114</v>
      </c>
      <c r="E822">
        <v>56</v>
      </c>
      <c r="F822" t="s">
        <v>77</v>
      </c>
      <c r="G822" s="10">
        <v>45295</v>
      </c>
      <c r="H822" t="s">
        <v>37</v>
      </c>
      <c r="I822" t="s">
        <v>84</v>
      </c>
      <c r="J822" t="s">
        <v>52</v>
      </c>
      <c r="K822" t="s">
        <v>115</v>
      </c>
      <c r="L822" t="s">
        <v>60</v>
      </c>
      <c r="M822" t="s">
        <v>122</v>
      </c>
      <c r="N822">
        <v>65</v>
      </c>
      <c r="O822" t="s">
        <v>117</v>
      </c>
      <c r="P822" s="11">
        <v>6900</v>
      </c>
      <c r="Q822" t="s">
        <v>64</v>
      </c>
      <c r="R822" s="11">
        <f t="shared" si="24"/>
        <v>0</v>
      </c>
      <c r="S822" t="str">
        <f t="shared" si="25"/>
        <v>One-Time</v>
      </c>
    </row>
    <row r="823" spans="1:19" ht="15" customHeight="1" x14ac:dyDescent="0.3">
      <c r="A823">
        <v>822</v>
      </c>
      <c r="B823" t="s">
        <v>1217</v>
      </c>
      <c r="C823">
        <v>6836093</v>
      </c>
      <c r="D823" t="s">
        <v>114</v>
      </c>
      <c r="E823">
        <v>25</v>
      </c>
      <c r="F823" t="s">
        <v>75</v>
      </c>
      <c r="G823" s="10">
        <v>45296</v>
      </c>
      <c r="H823" t="s">
        <v>37</v>
      </c>
      <c r="I823" t="s">
        <v>83</v>
      </c>
      <c r="J823" t="s">
        <v>52</v>
      </c>
      <c r="K823" t="s">
        <v>115</v>
      </c>
      <c r="L823" t="s">
        <v>60</v>
      </c>
      <c r="M823" t="s">
        <v>122</v>
      </c>
      <c r="N823">
        <v>4</v>
      </c>
      <c r="O823" t="s">
        <v>117</v>
      </c>
      <c r="P823" s="11">
        <v>6900</v>
      </c>
      <c r="Q823" t="s">
        <v>371</v>
      </c>
      <c r="R823" s="11">
        <f t="shared" si="24"/>
        <v>0</v>
      </c>
      <c r="S823" t="str">
        <f t="shared" si="25"/>
        <v>One-Time</v>
      </c>
    </row>
    <row r="824" spans="1:19" ht="15" customHeight="1" x14ac:dyDescent="0.3">
      <c r="A824">
        <v>823</v>
      </c>
      <c r="B824" t="s">
        <v>1218</v>
      </c>
      <c r="C824">
        <v>3894545</v>
      </c>
      <c r="D824" t="s">
        <v>114</v>
      </c>
      <c r="E824">
        <v>37</v>
      </c>
      <c r="F824" t="s">
        <v>76</v>
      </c>
      <c r="G824" s="10">
        <v>45297</v>
      </c>
      <c r="H824" t="s">
        <v>37</v>
      </c>
      <c r="I824" t="s">
        <v>82</v>
      </c>
      <c r="J824" t="s">
        <v>52</v>
      </c>
      <c r="K824" t="s">
        <v>115</v>
      </c>
      <c r="L824" t="s">
        <v>60</v>
      </c>
      <c r="M824" t="s">
        <v>122</v>
      </c>
      <c r="N824">
        <v>1</v>
      </c>
      <c r="O824" t="s">
        <v>117</v>
      </c>
      <c r="P824" s="11">
        <v>6900</v>
      </c>
      <c r="Q824" t="s">
        <v>1219</v>
      </c>
      <c r="R824" s="11">
        <f t="shared" si="24"/>
        <v>6900</v>
      </c>
      <c r="S824" t="str">
        <f t="shared" si="25"/>
        <v>One-Time</v>
      </c>
    </row>
    <row r="825" spans="1:19" ht="15" customHeight="1" x14ac:dyDescent="0.3">
      <c r="A825">
        <v>824</v>
      </c>
      <c r="B825" t="s">
        <v>1220</v>
      </c>
      <c r="C825">
        <v>9536882</v>
      </c>
      <c r="D825" t="s">
        <v>114</v>
      </c>
      <c r="E825">
        <v>40</v>
      </c>
      <c r="F825" t="s">
        <v>76</v>
      </c>
      <c r="G825" s="10">
        <v>45298</v>
      </c>
      <c r="H825" t="s">
        <v>37</v>
      </c>
      <c r="I825" t="s">
        <v>82</v>
      </c>
      <c r="J825" t="s">
        <v>52</v>
      </c>
      <c r="K825" t="s">
        <v>115</v>
      </c>
      <c r="L825" t="s">
        <v>60</v>
      </c>
      <c r="M825" t="s">
        <v>122</v>
      </c>
      <c r="N825">
        <v>47</v>
      </c>
      <c r="O825" t="s">
        <v>117</v>
      </c>
      <c r="P825" s="11">
        <v>6300</v>
      </c>
      <c r="Q825" t="s">
        <v>1221</v>
      </c>
      <c r="R825" s="11">
        <f t="shared" si="24"/>
        <v>6300</v>
      </c>
      <c r="S825" t="str">
        <f t="shared" si="25"/>
        <v>One-Time</v>
      </c>
    </row>
    <row r="826" spans="1:19" ht="15" customHeight="1" x14ac:dyDescent="0.3">
      <c r="A826">
        <v>825</v>
      </c>
      <c r="B826" t="s">
        <v>1222</v>
      </c>
      <c r="C826">
        <v>7032778</v>
      </c>
      <c r="D826" t="s">
        <v>114</v>
      </c>
      <c r="E826">
        <v>33</v>
      </c>
      <c r="F826" t="s">
        <v>76</v>
      </c>
      <c r="G826" s="10">
        <v>45299</v>
      </c>
      <c r="H826" t="s">
        <v>37</v>
      </c>
      <c r="I826" t="s">
        <v>82</v>
      </c>
      <c r="J826" t="s">
        <v>52</v>
      </c>
      <c r="K826" t="s">
        <v>115</v>
      </c>
      <c r="L826" t="s">
        <v>60</v>
      </c>
      <c r="M826" t="s">
        <v>122</v>
      </c>
      <c r="N826">
        <v>3</v>
      </c>
      <c r="O826" t="s">
        <v>117</v>
      </c>
      <c r="P826" s="11">
        <v>6300</v>
      </c>
      <c r="Q826" t="s">
        <v>1223</v>
      </c>
      <c r="R826" s="11">
        <f t="shared" si="24"/>
        <v>6300</v>
      </c>
      <c r="S826" t="str">
        <f t="shared" si="25"/>
        <v>One-Time</v>
      </c>
    </row>
    <row r="827" spans="1:19" ht="15" customHeight="1" x14ac:dyDescent="0.3">
      <c r="A827">
        <v>826</v>
      </c>
      <c r="B827" t="s">
        <v>1224</v>
      </c>
      <c r="C827">
        <v>9812865</v>
      </c>
      <c r="D827" t="s">
        <v>114</v>
      </c>
      <c r="E827">
        <v>48</v>
      </c>
      <c r="F827" t="s">
        <v>76</v>
      </c>
      <c r="G827" s="10">
        <v>45300</v>
      </c>
      <c r="H827" t="s">
        <v>37</v>
      </c>
      <c r="I827" t="s">
        <v>82</v>
      </c>
      <c r="J827" t="s">
        <v>52</v>
      </c>
      <c r="K827" t="s">
        <v>115</v>
      </c>
      <c r="L827" t="s">
        <v>60</v>
      </c>
      <c r="M827" t="s">
        <v>122</v>
      </c>
      <c r="N827">
        <v>4</v>
      </c>
      <c r="O827" t="s">
        <v>117</v>
      </c>
      <c r="P827" s="11">
        <v>6300</v>
      </c>
      <c r="Q827" t="s">
        <v>64</v>
      </c>
      <c r="R827" s="11">
        <f t="shared" si="24"/>
        <v>6300</v>
      </c>
      <c r="S827" t="str">
        <f t="shared" si="25"/>
        <v>One-Time</v>
      </c>
    </row>
    <row r="828" spans="1:19" ht="15" customHeight="1" x14ac:dyDescent="0.3">
      <c r="A828">
        <v>827</v>
      </c>
      <c r="B828" t="s">
        <v>1225</v>
      </c>
      <c r="C828">
        <v>8429877</v>
      </c>
      <c r="D828" t="s">
        <v>114</v>
      </c>
      <c r="E828">
        <v>21</v>
      </c>
      <c r="F828" t="s">
        <v>75</v>
      </c>
      <c r="G828" s="10">
        <v>45301</v>
      </c>
      <c r="H828" t="s">
        <v>37</v>
      </c>
      <c r="I828" t="s">
        <v>82</v>
      </c>
      <c r="J828" t="s">
        <v>52</v>
      </c>
      <c r="K828" t="s">
        <v>115</v>
      </c>
      <c r="L828" t="s">
        <v>60</v>
      </c>
      <c r="M828" t="s">
        <v>122</v>
      </c>
      <c r="N828">
        <v>4</v>
      </c>
      <c r="O828" t="s">
        <v>117</v>
      </c>
      <c r="P828" s="11">
        <v>6300</v>
      </c>
      <c r="Q828" t="s">
        <v>1226</v>
      </c>
      <c r="R828" s="11">
        <f t="shared" si="24"/>
        <v>6300</v>
      </c>
      <c r="S828" t="str">
        <f t="shared" si="25"/>
        <v>One-Time</v>
      </c>
    </row>
    <row r="829" spans="1:19" ht="15" customHeight="1" x14ac:dyDescent="0.3">
      <c r="A829">
        <v>828</v>
      </c>
      <c r="B829" t="s">
        <v>1227</v>
      </c>
      <c r="C829">
        <v>6154566</v>
      </c>
      <c r="D829" t="s">
        <v>114</v>
      </c>
      <c r="E829">
        <v>29</v>
      </c>
      <c r="F829" t="s">
        <v>75</v>
      </c>
      <c r="G829" s="10">
        <v>45302</v>
      </c>
      <c r="H829" t="s">
        <v>37</v>
      </c>
      <c r="I829" t="s">
        <v>82</v>
      </c>
      <c r="J829" t="s">
        <v>52</v>
      </c>
      <c r="K829" t="s">
        <v>115</v>
      </c>
      <c r="L829" t="s">
        <v>60</v>
      </c>
      <c r="M829" t="s">
        <v>122</v>
      </c>
      <c r="N829">
        <v>9</v>
      </c>
      <c r="O829" t="s">
        <v>117</v>
      </c>
      <c r="P829" s="11">
        <v>6300</v>
      </c>
      <c r="Q829" t="s">
        <v>313</v>
      </c>
      <c r="R829" s="11">
        <f t="shared" si="24"/>
        <v>6300</v>
      </c>
      <c r="S829" t="str">
        <f t="shared" si="25"/>
        <v>One-Time</v>
      </c>
    </row>
    <row r="830" spans="1:19" ht="15" customHeight="1" x14ac:dyDescent="0.3">
      <c r="A830">
        <v>829</v>
      </c>
      <c r="B830" t="s">
        <v>1228</v>
      </c>
      <c r="C830">
        <v>8728806</v>
      </c>
      <c r="D830" t="s">
        <v>114</v>
      </c>
      <c r="E830">
        <v>40</v>
      </c>
      <c r="F830" t="s">
        <v>76</v>
      </c>
      <c r="G830" s="10">
        <v>45303</v>
      </c>
      <c r="H830" t="s">
        <v>37</v>
      </c>
      <c r="I830" t="s">
        <v>82</v>
      </c>
      <c r="J830" t="s">
        <v>52</v>
      </c>
      <c r="K830" t="s">
        <v>132</v>
      </c>
      <c r="L830" t="s">
        <v>60</v>
      </c>
      <c r="M830" t="s">
        <v>122</v>
      </c>
      <c r="N830">
        <v>8</v>
      </c>
      <c r="O830" t="s">
        <v>117</v>
      </c>
      <c r="P830" s="11">
        <v>6300</v>
      </c>
      <c r="Q830" t="s">
        <v>65</v>
      </c>
      <c r="R830" s="11">
        <f t="shared" si="24"/>
        <v>6300</v>
      </c>
      <c r="S830" t="str">
        <f t="shared" si="25"/>
        <v>One-Time</v>
      </c>
    </row>
    <row r="831" spans="1:19" ht="15" customHeight="1" x14ac:dyDescent="0.3">
      <c r="A831">
        <v>830</v>
      </c>
      <c r="B831" t="s">
        <v>1229</v>
      </c>
      <c r="C831">
        <v>6662354</v>
      </c>
      <c r="D831" t="s">
        <v>114</v>
      </c>
      <c r="E831">
        <v>48</v>
      </c>
      <c r="F831" t="s">
        <v>76</v>
      </c>
      <c r="G831" s="10">
        <v>45304</v>
      </c>
      <c r="H831" t="s">
        <v>37</v>
      </c>
      <c r="I831" t="s">
        <v>82</v>
      </c>
      <c r="J831" t="s">
        <v>52</v>
      </c>
      <c r="K831" t="s">
        <v>132</v>
      </c>
      <c r="L831" t="s">
        <v>60</v>
      </c>
      <c r="M831" t="s">
        <v>122</v>
      </c>
      <c r="N831">
        <v>3</v>
      </c>
      <c r="O831" t="s">
        <v>117</v>
      </c>
      <c r="P831" s="11">
        <v>6300</v>
      </c>
      <c r="Q831" t="s">
        <v>468</v>
      </c>
      <c r="R831" s="11">
        <f t="shared" si="24"/>
        <v>6300</v>
      </c>
      <c r="S831" t="str">
        <f t="shared" si="25"/>
        <v>One-Time</v>
      </c>
    </row>
    <row r="832" spans="1:19" ht="15" customHeight="1" x14ac:dyDescent="0.3">
      <c r="A832">
        <v>831</v>
      </c>
      <c r="B832" t="s">
        <v>1230</v>
      </c>
      <c r="C832">
        <v>8629012</v>
      </c>
      <c r="D832" t="s">
        <v>114</v>
      </c>
      <c r="E832">
        <v>38</v>
      </c>
      <c r="F832" t="s">
        <v>76</v>
      </c>
      <c r="G832" s="10">
        <v>45305</v>
      </c>
      <c r="H832" t="s">
        <v>37</v>
      </c>
      <c r="I832" t="s">
        <v>82</v>
      </c>
      <c r="J832" t="s">
        <v>52</v>
      </c>
      <c r="K832" t="s">
        <v>132</v>
      </c>
      <c r="L832" t="s">
        <v>60</v>
      </c>
      <c r="M832" t="s">
        <v>122</v>
      </c>
      <c r="N832">
        <v>6</v>
      </c>
      <c r="O832" t="s">
        <v>117</v>
      </c>
      <c r="P832" s="11">
        <v>6300</v>
      </c>
      <c r="Q832" t="s">
        <v>71</v>
      </c>
      <c r="R832" s="11">
        <f t="shared" si="24"/>
        <v>6300</v>
      </c>
      <c r="S832" t="str">
        <f t="shared" si="25"/>
        <v>One-Time</v>
      </c>
    </row>
    <row r="833" spans="1:19" ht="15" customHeight="1" x14ac:dyDescent="0.3">
      <c r="A833">
        <v>832</v>
      </c>
      <c r="B833" t="s">
        <v>1231</v>
      </c>
      <c r="C833">
        <v>6505389</v>
      </c>
      <c r="D833" t="s">
        <v>392</v>
      </c>
      <c r="E833">
        <v>35</v>
      </c>
      <c r="F833" t="s">
        <v>76</v>
      </c>
      <c r="G833" s="10">
        <v>45306</v>
      </c>
      <c r="H833" t="s">
        <v>37</v>
      </c>
      <c r="I833" t="s">
        <v>82</v>
      </c>
      <c r="J833" t="s">
        <v>52</v>
      </c>
      <c r="K833" t="s">
        <v>132</v>
      </c>
      <c r="L833" t="s">
        <v>60</v>
      </c>
      <c r="M833" t="s">
        <v>122</v>
      </c>
      <c r="N833">
        <v>9</v>
      </c>
      <c r="O833" t="s">
        <v>117</v>
      </c>
      <c r="P833" s="11">
        <v>6300</v>
      </c>
      <c r="Q833" t="s">
        <v>524</v>
      </c>
      <c r="R833" s="11">
        <f t="shared" si="24"/>
        <v>6300</v>
      </c>
      <c r="S833" t="str">
        <f t="shared" si="25"/>
        <v>Repeat</v>
      </c>
    </row>
    <row r="834" spans="1:19" ht="15" customHeight="1" x14ac:dyDescent="0.3">
      <c r="A834">
        <v>833</v>
      </c>
      <c r="B834" t="s">
        <v>1231</v>
      </c>
      <c r="C834">
        <v>6505389</v>
      </c>
      <c r="D834" t="s">
        <v>392</v>
      </c>
      <c r="E834">
        <v>19</v>
      </c>
      <c r="F834" t="s">
        <v>75</v>
      </c>
      <c r="G834" s="10">
        <v>45307</v>
      </c>
      <c r="H834" t="s">
        <v>37</v>
      </c>
      <c r="I834" t="s">
        <v>82</v>
      </c>
      <c r="J834" t="s">
        <v>52</v>
      </c>
      <c r="K834" t="s">
        <v>132</v>
      </c>
      <c r="L834" t="s">
        <v>60</v>
      </c>
      <c r="M834" t="s">
        <v>122</v>
      </c>
      <c r="N834">
        <v>2</v>
      </c>
      <c r="O834" t="s">
        <v>117</v>
      </c>
      <c r="P834" s="11">
        <v>6300</v>
      </c>
      <c r="Q834" t="s">
        <v>1232</v>
      </c>
      <c r="R834" s="11">
        <f t="shared" ref="R834:R897" si="26">IF(I834="Delivered",P834,0)</f>
        <v>6300</v>
      </c>
      <c r="S834" t="str">
        <f t="shared" ref="S834:S897" si="27">IF(COUNTIF($C$2:$C$1501,C834)&gt;1,"Repeat","One-Time")</f>
        <v>Repeat</v>
      </c>
    </row>
    <row r="835" spans="1:19" ht="15" customHeight="1" x14ac:dyDescent="0.3">
      <c r="A835">
        <v>834</v>
      </c>
      <c r="B835" t="s">
        <v>1233</v>
      </c>
      <c r="C835">
        <v>1492499</v>
      </c>
      <c r="D835" t="s">
        <v>392</v>
      </c>
      <c r="E835">
        <v>48</v>
      </c>
      <c r="F835" t="s">
        <v>76</v>
      </c>
      <c r="G835" s="10">
        <v>45308</v>
      </c>
      <c r="H835" t="s">
        <v>37</v>
      </c>
      <c r="I835" t="s">
        <v>82</v>
      </c>
      <c r="J835" t="s">
        <v>52</v>
      </c>
      <c r="K835" t="s">
        <v>132</v>
      </c>
      <c r="L835" t="s">
        <v>57</v>
      </c>
      <c r="M835" t="s">
        <v>122</v>
      </c>
      <c r="N835">
        <v>5</v>
      </c>
      <c r="O835" t="s">
        <v>117</v>
      </c>
      <c r="P835" s="11">
        <v>6300</v>
      </c>
      <c r="Q835" t="s">
        <v>63</v>
      </c>
      <c r="R835" s="11">
        <f t="shared" si="26"/>
        <v>6300</v>
      </c>
      <c r="S835" t="str">
        <f t="shared" si="27"/>
        <v>One-Time</v>
      </c>
    </row>
    <row r="836" spans="1:19" ht="15" customHeight="1" x14ac:dyDescent="0.3">
      <c r="A836">
        <v>835</v>
      </c>
      <c r="B836" t="s">
        <v>1234</v>
      </c>
      <c r="C836">
        <v>301836</v>
      </c>
      <c r="D836" t="s">
        <v>392</v>
      </c>
      <c r="E836">
        <v>18</v>
      </c>
      <c r="F836" t="s">
        <v>75</v>
      </c>
      <c r="G836" s="10">
        <v>45309</v>
      </c>
      <c r="H836" t="s">
        <v>37</v>
      </c>
      <c r="I836" t="s">
        <v>82</v>
      </c>
      <c r="J836" t="s">
        <v>52</v>
      </c>
      <c r="K836" t="s">
        <v>132</v>
      </c>
      <c r="L836" t="s">
        <v>57</v>
      </c>
      <c r="M836" t="s">
        <v>122</v>
      </c>
      <c r="N836">
        <v>6</v>
      </c>
      <c r="O836" t="s">
        <v>117</v>
      </c>
      <c r="P836" s="11">
        <v>6300</v>
      </c>
      <c r="Q836" t="s">
        <v>1068</v>
      </c>
      <c r="R836" s="11">
        <f t="shared" si="26"/>
        <v>6300</v>
      </c>
      <c r="S836" t="str">
        <f t="shared" si="27"/>
        <v>One-Time</v>
      </c>
    </row>
    <row r="837" spans="1:19" ht="15" customHeight="1" x14ac:dyDescent="0.3">
      <c r="A837">
        <v>836</v>
      </c>
      <c r="B837" t="s">
        <v>1235</v>
      </c>
      <c r="C837">
        <v>4159700</v>
      </c>
      <c r="D837" t="s">
        <v>392</v>
      </c>
      <c r="E837">
        <v>29</v>
      </c>
      <c r="F837" t="s">
        <v>75</v>
      </c>
      <c r="G837" s="10">
        <v>45310</v>
      </c>
      <c r="H837" t="s">
        <v>37</v>
      </c>
      <c r="I837" t="s">
        <v>82</v>
      </c>
      <c r="J837" t="s">
        <v>52</v>
      </c>
      <c r="K837" t="s">
        <v>132</v>
      </c>
      <c r="L837" t="s">
        <v>57</v>
      </c>
      <c r="M837" t="s">
        <v>122</v>
      </c>
      <c r="N837">
        <v>9</v>
      </c>
      <c r="O837" t="s">
        <v>117</v>
      </c>
      <c r="P837" s="11">
        <v>6300</v>
      </c>
      <c r="Q837" t="s">
        <v>390</v>
      </c>
      <c r="R837" s="11">
        <f t="shared" si="26"/>
        <v>6300</v>
      </c>
      <c r="S837" t="str">
        <f t="shared" si="27"/>
        <v>One-Time</v>
      </c>
    </row>
    <row r="838" spans="1:19" ht="15" customHeight="1" x14ac:dyDescent="0.3">
      <c r="A838">
        <v>837</v>
      </c>
      <c r="B838" t="s">
        <v>1236</v>
      </c>
      <c r="C838">
        <v>2887251</v>
      </c>
      <c r="D838" t="s">
        <v>392</v>
      </c>
      <c r="E838">
        <v>46</v>
      </c>
      <c r="F838" t="s">
        <v>76</v>
      </c>
      <c r="G838" s="10">
        <v>45326</v>
      </c>
      <c r="H838" t="s">
        <v>38</v>
      </c>
      <c r="I838" t="s">
        <v>82</v>
      </c>
      <c r="J838" t="s">
        <v>52</v>
      </c>
      <c r="K838" t="s">
        <v>132</v>
      </c>
      <c r="L838" t="s">
        <v>57</v>
      </c>
      <c r="M838" t="s">
        <v>122</v>
      </c>
      <c r="N838">
        <v>7</v>
      </c>
      <c r="O838" t="s">
        <v>117</v>
      </c>
      <c r="P838" s="11">
        <v>6600</v>
      </c>
      <c r="Q838" t="s">
        <v>67</v>
      </c>
      <c r="R838" s="11">
        <f t="shared" si="26"/>
        <v>6600</v>
      </c>
      <c r="S838" t="str">
        <f t="shared" si="27"/>
        <v>Repeat</v>
      </c>
    </row>
    <row r="839" spans="1:19" ht="15" customHeight="1" x14ac:dyDescent="0.3">
      <c r="A839">
        <v>838</v>
      </c>
      <c r="B839" t="s">
        <v>1236</v>
      </c>
      <c r="C839">
        <v>2887251</v>
      </c>
      <c r="D839" t="s">
        <v>392</v>
      </c>
      <c r="E839">
        <v>40</v>
      </c>
      <c r="F839" t="s">
        <v>76</v>
      </c>
      <c r="G839" s="10">
        <v>45326</v>
      </c>
      <c r="H839" t="s">
        <v>38</v>
      </c>
      <c r="I839" t="s">
        <v>82</v>
      </c>
      <c r="J839" t="s">
        <v>52</v>
      </c>
      <c r="K839" t="s">
        <v>132</v>
      </c>
      <c r="L839" t="s">
        <v>57</v>
      </c>
      <c r="M839" t="s">
        <v>122</v>
      </c>
      <c r="N839">
        <v>81</v>
      </c>
      <c r="O839" t="s">
        <v>117</v>
      </c>
      <c r="P839" s="11">
        <v>6600</v>
      </c>
      <c r="Q839" t="s">
        <v>1237</v>
      </c>
      <c r="R839" s="11">
        <f t="shared" si="26"/>
        <v>6600</v>
      </c>
      <c r="S839" t="str">
        <f t="shared" si="27"/>
        <v>Repeat</v>
      </c>
    </row>
    <row r="840" spans="1:19" ht="15" customHeight="1" x14ac:dyDescent="0.3">
      <c r="A840">
        <v>839</v>
      </c>
      <c r="B840" t="s">
        <v>1238</v>
      </c>
      <c r="C840">
        <v>7320995</v>
      </c>
      <c r="D840" t="s">
        <v>392</v>
      </c>
      <c r="E840">
        <v>33</v>
      </c>
      <c r="F840" t="s">
        <v>76</v>
      </c>
      <c r="G840" s="10">
        <v>45326</v>
      </c>
      <c r="H840" t="s">
        <v>38</v>
      </c>
      <c r="I840" t="s">
        <v>82</v>
      </c>
      <c r="J840" t="s">
        <v>52</v>
      </c>
      <c r="K840" t="s">
        <v>132</v>
      </c>
      <c r="L840" t="s">
        <v>57</v>
      </c>
      <c r="M840" t="s">
        <v>122</v>
      </c>
      <c r="N840">
        <v>24</v>
      </c>
      <c r="O840" t="s">
        <v>117</v>
      </c>
      <c r="P840" s="11">
        <v>6600</v>
      </c>
      <c r="Q840" t="s">
        <v>71</v>
      </c>
      <c r="R840" s="11">
        <f t="shared" si="26"/>
        <v>6600</v>
      </c>
      <c r="S840" t="str">
        <f t="shared" si="27"/>
        <v>One-Time</v>
      </c>
    </row>
    <row r="841" spans="1:19" ht="15" customHeight="1" x14ac:dyDescent="0.3">
      <c r="A841">
        <v>840</v>
      </c>
      <c r="B841" t="s">
        <v>1239</v>
      </c>
      <c r="C841">
        <v>5897451</v>
      </c>
      <c r="D841" t="s">
        <v>392</v>
      </c>
      <c r="E841">
        <v>27</v>
      </c>
      <c r="F841" t="s">
        <v>75</v>
      </c>
      <c r="G841" s="10">
        <v>45326</v>
      </c>
      <c r="H841" t="s">
        <v>38</v>
      </c>
      <c r="I841" t="s">
        <v>82</v>
      </c>
      <c r="J841" t="s">
        <v>52</v>
      </c>
      <c r="K841" t="s">
        <v>132</v>
      </c>
      <c r="L841" t="s">
        <v>57</v>
      </c>
      <c r="M841" t="s">
        <v>122</v>
      </c>
      <c r="N841">
        <v>56</v>
      </c>
      <c r="O841" t="s">
        <v>117</v>
      </c>
      <c r="P841" s="11">
        <v>6600</v>
      </c>
      <c r="Q841" t="s">
        <v>1240</v>
      </c>
      <c r="R841" s="11">
        <f t="shared" si="26"/>
        <v>6600</v>
      </c>
      <c r="S841" t="str">
        <f t="shared" si="27"/>
        <v>One-Time</v>
      </c>
    </row>
    <row r="842" spans="1:19" ht="15" customHeight="1" x14ac:dyDescent="0.3">
      <c r="A842">
        <v>841</v>
      </c>
      <c r="B842" t="s">
        <v>1241</v>
      </c>
      <c r="C842">
        <v>9561002</v>
      </c>
      <c r="D842" t="s">
        <v>392</v>
      </c>
      <c r="E842">
        <v>30</v>
      </c>
      <c r="F842" t="s">
        <v>76</v>
      </c>
      <c r="G842" s="10">
        <v>45326</v>
      </c>
      <c r="H842" t="s">
        <v>38</v>
      </c>
      <c r="I842" t="s">
        <v>82</v>
      </c>
      <c r="J842" t="s">
        <v>52</v>
      </c>
      <c r="K842" t="s">
        <v>132</v>
      </c>
      <c r="L842" t="s">
        <v>57</v>
      </c>
      <c r="M842" t="s">
        <v>122</v>
      </c>
      <c r="N842">
        <v>55</v>
      </c>
      <c r="O842" t="s">
        <v>117</v>
      </c>
      <c r="P842" s="11">
        <v>6500</v>
      </c>
      <c r="Q842" t="s">
        <v>1242</v>
      </c>
      <c r="R842" s="11">
        <f t="shared" si="26"/>
        <v>6500</v>
      </c>
      <c r="S842" t="str">
        <f t="shared" si="27"/>
        <v>One-Time</v>
      </c>
    </row>
    <row r="843" spans="1:19" ht="15" customHeight="1" x14ac:dyDescent="0.3">
      <c r="A843">
        <v>842</v>
      </c>
      <c r="B843" t="s">
        <v>1243</v>
      </c>
      <c r="C843">
        <v>518681</v>
      </c>
      <c r="D843" t="s">
        <v>392</v>
      </c>
      <c r="E843">
        <v>75</v>
      </c>
      <c r="F843" t="s">
        <v>77</v>
      </c>
      <c r="G843" s="10">
        <v>45326</v>
      </c>
      <c r="H843" t="s">
        <v>38</v>
      </c>
      <c r="I843" t="s">
        <v>82</v>
      </c>
      <c r="J843" t="s">
        <v>52</v>
      </c>
      <c r="K843" t="s">
        <v>132</v>
      </c>
      <c r="L843" t="s">
        <v>57</v>
      </c>
      <c r="M843" t="s">
        <v>122</v>
      </c>
      <c r="N843">
        <v>5</v>
      </c>
      <c r="O843" t="s">
        <v>117</v>
      </c>
      <c r="P843" s="11">
        <v>6500</v>
      </c>
      <c r="Q843" t="s">
        <v>357</v>
      </c>
      <c r="R843" s="11">
        <f t="shared" si="26"/>
        <v>6500</v>
      </c>
      <c r="S843" t="str">
        <f t="shared" si="27"/>
        <v>One-Time</v>
      </c>
    </row>
    <row r="844" spans="1:19" ht="15" customHeight="1" x14ac:dyDescent="0.3">
      <c r="A844">
        <v>843</v>
      </c>
      <c r="B844" t="s">
        <v>1244</v>
      </c>
      <c r="C844">
        <v>5800756</v>
      </c>
      <c r="D844" t="s">
        <v>392</v>
      </c>
      <c r="E844">
        <v>24</v>
      </c>
      <c r="F844" t="s">
        <v>75</v>
      </c>
      <c r="G844" s="10">
        <v>45326</v>
      </c>
      <c r="H844" t="s">
        <v>38</v>
      </c>
      <c r="I844" t="s">
        <v>84</v>
      </c>
      <c r="J844" t="s">
        <v>52</v>
      </c>
      <c r="K844" t="s">
        <v>132</v>
      </c>
      <c r="L844" t="s">
        <v>57</v>
      </c>
      <c r="M844" t="s">
        <v>122</v>
      </c>
      <c r="N844">
        <v>4</v>
      </c>
      <c r="O844" t="s">
        <v>117</v>
      </c>
      <c r="P844" s="11">
        <v>6500</v>
      </c>
      <c r="Q844" t="s">
        <v>66</v>
      </c>
      <c r="R844" s="11">
        <f t="shared" si="26"/>
        <v>0</v>
      </c>
      <c r="S844" t="str">
        <f t="shared" si="27"/>
        <v>One-Time</v>
      </c>
    </row>
    <row r="845" spans="1:19" ht="15" customHeight="1" x14ac:dyDescent="0.3">
      <c r="A845">
        <v>844</v>
      </c>
      <c r="B845" t="s">
        <v>1245</v>
      </c>
      <c r="C845">
        <v>9551282</v>
      </c>
      <c r="D845" t="s">
        <v>392</v>
      </c>
      <c r="E845">
        <v>44</v>
      </c>
      <c r="F845" t="s">
        <v>76</v>
      </c>
      <c r="G845" s="10">
        <v>45326</v>
      </c>
      <c r="H845" t="s">
        <v>38</v>
      </c>
      <c r="I845" t="s">
        <v>82</v>
      </c>
      <c r="J845" t="s">
        <v>52</v>
      </c>
      <c r="K845" t="s">
        <v>132</v>
      </c>
      <c r="L845" t="s">
        <v>57</v>
      </c>
      <c r="M845" t="s">
        <v>122</v>
      </c>
      <c r="N845">
        <v>8</v>
      </c>
      <c r="O845" t="s">
        <v>117</v>
      </c>
      <c r="P845" s="11">
        <v>6500</v>
      </c>
      <c r="Q845" t="s">
        <v>66</v>
      </c>
      <c r="R845" s="11">
        <f t="shared" si="26"/>
        <v>6500</v>
      </c>
      <c r="S845" t="str">
        <f t="shared" si="27"/>
        <v>One-Time</v>
      </c>
    </row>
    <row r="846" spans="1:19" ht="15" customHeight="1" x14ac:dyDescent="0.3">
      <c r="A846">
        <v>845</v>
      </c>
      <c r="B846" t="s">
        <v>1246</v>
      </c>
      <c r="C846">
        <v>1742599</v>
      </c>
      <c r="D846" t="s">
        <v>392</v>
      </c>
      <c r="E846">
        <v>48</v>
      </c>
      <c r="F846" t="s">
        <v>76</v>
      </c>
      <c r="G846" s="10">
        <v>45326</v>
      </c>
      <c r="H846" t="s">
        <v>38</v>
      </c>
      <c r="I846" t="s">
        <v>82</v>
      </c>
      <c r="J846" t="s">
        <v>52</v>
      </c>
      <c r="K846" t="s">
        <v>132</v>
      </c>
      <c r="L846" t="s">
        <v>57</v>
      </c>
      <c r="M846" t="s">
        <v>122</v>
      </c>
      <c r="N846">
        <v>7</v>
      </c>
      <c r="O846" t="s">
        <v>117</v>
      </c>
      <c r="P846" s="11">
        <v>6500</v>
      </c>
      <c r="Q846" t="s">
        <v>64</v>
      </c>
      <c r="R846" s="11">
        <f t="shared" si="26"/>
        <v>6500</v>
      </c>
      <c r="S846" t="str">
        <f t="shared" si="27"/>
        <v>One-Time</v>
      </c>
    </row>
    <row r="847" spans="1:19" ht="15" customHeight="1" x14ac:dyDescent="0.3">
      <c r="A847">
        <v>846</v>
      </c>
      <c r="B847" t="s">
        <v>1247</v>
      </c>
      <c r="C847">
        <v>4054097</v>
      </c>
      <c r="D847" t="s">
        <v>392</v>
      </c>
      <c r="E847">
        <v>52</v>
      </c>
      <c r="F847" t="s">
        <v>77</v>
      </c>
      <c r="G847" s="10">
        <v>45326</v>
      </c>
      <c r="H847" t="s">
        <v>38</v>
      </c>
      <c r="I847" t="s">
        <v>82</v>
      </c>
      <c r="J847" t="s">
        <v>53</v>
      </c>
      <c r="K847" t="s">
        <v>132</v>
      </c>
      <c r="L847" t="s">
        <v>57</v>
      </c>
      <c r="M847" t="s">
        <v>315</v>
      </c>
      <c r="N847">
        <v>9</v>
      </c>
      <c r="O847" t="s">
        <v>117</v>
      </c>
      <c r="P847" s="11">
        <v>6500</v>
      </c>
      <c r="Q847" t="s">
        <v>63</v>
      </c>
      <c r="R847" s="11">
        <f t="shared" si="26"/>
        <v>6500</v>
      </c>
      <c r="S847" t="str">
        <f t="shared" si="27"/>
        <v>One-Time</v>
      </c>
    </row>
    <row r="848" spans="1:19" ht="15" customHeight="1" x14ac:dyDescent="0.3">
      <c r="A848">
        <v>847</v>
      </c>
      <c r="B848" t="s">
        <v>1248</v>
      </c>
      <c r="C848">
        <v>232355</v>
      </c>
      <c r="D848" t="s">
        <v>392</v>
      </c>
      <c r="E848">
        <v>63</v>
      </c>
      <c r="F848" t="s">
        <v>77</v>
      </c>
      <c r="G848" s="10">
        <v>45326</v>
      </c>
      <c r="H848" t="s">
        <v>38</v>
      </c>
      <c r="I848" t="s">
        <v>82</v>
      </c>
      <c r="J848" t="s">
        <v>53</v>
      </c>
      <c r="K848" t="s">
        <v>132</v>
      </c>
      <c r="L848" t="s">
        <v>57</v>
      </c>
      <c r="M848" t="s">
        <v>315</v>
      </c>
      <c r="N848">
        <v>3</v>
      </c>
      <c r="O848" t="s">
        <v>117</v>
      </c>
      <c r="P848" s="11">
        <v>6500</v>
      </c>
      <c r="Q848" t="s">
        <v>1249</v>
      </c>
      <c r="R848" s="11">
        <f t="shared" si="26"/>
        <v>6500</v>
      </c>
      <c r="S848" t="str">
        <f t="shared" si="27"/>
        <v>One-Time</v>
      </c>
    </row>
    <row r="849" spans="1:19" ht="15" customHeight="1" x14ac:dyDescent="0.3">
      <c r="A849">
        <v>848</v>
      </c>
      <c r="B849" t="s">
        <v>1250</v>
      </c>
      <c r="C849">
        <v>4278165</v>
      </c>
      <c r="D849" t="s">
        <v>392</v>
      </c>
      <c r="E849">
        <v>31</v>
      </c>
      <c r="F849" t="s">
        <v>76</v>
      </c>
      <c r="G849" s="10">
        <v>45326</v>
      </c>
      <c r="H849" t="s">
        <v>38</v>
      </c>
      <c r="I849" t="s">
        <v>84</v>
      </c>
      <c r="J849" t="s">
        <v>53</v>
      </c>
      <c r="K849" t="s">
        <v>132</v>
      </c>
      <c r="L849" t="s">
        <v>57</v>
      </c>
      <c r="M849" t="s">
        <v>315</v>
      </c>
      <c r="N849">
        <v>32</v>
      </c>
      <c r="O849" t="s">
        <v>117</v>
      </c>
      <c r="P849" s="11">
        <v>7500</v>
      </c>
      <c r="Q849" t="s">
        <v>601</v>
      </c>
      <c r="R849" s="11">
        <f t="shared" si="26"/>
        <v>0</v>
      </c>
      <c r="S849" t="str">
        <f t="shared" si="27"/>
        <v>One-Time</v>
      </c>
    </row>
    <row r="850" spans="1:19" ht="15" customHeight="1" x14ac:dyDescent="0.3">
      <c r="A850">
        <v>849</v>
      </c>
      <c r="B850" t="s">
        <v>1251</v>
      </c>
      <c r="C850">
        <v>5168343</v>
      </c>
      <c r="D850" t="s">
        <v>392</v>
      </c>
      <c r="E850">
        <v>41</v>
      </c>
      <c r="F850" t="s">
        <v>76</v>
      </c>
      <c r="G850" s="10">
        <v>45326</v>
      </c>
      <c r="H850" t="s">
        <v>38</v>
      </c>
      <c r="I850" t="s">
        <v>82</v>
      </c>
      <c r="J850" t="s">
        <v>53</v>
      </c>
      <c r="K850" t="s">
        <v>132</v>
      </c>
      <c r="L850" t="s">
        <v>57</v>
      </c>
      <c r="M850" t="s">
        <v>315</v>
      </c>
      <c r="N850">
        <v>65</v>
      </c>
      <c r="O850" t="s">
        <v>117</v>
      </c>
      <c r="P850" s="11">
        <v>7500</v>
      </c>
      <c r="Q850" t="s">
        <v>483</v>
      </c>
      <c r="R850" s="11">
        <f t="shared" si="26"/>
        <v>7500</v>
      </c>
      <c r="S850" t="str">
        <f t="shared" si="27"/>
        <v>One-Time</v>
      </c>
    </row>
    <row r="851" spans="1:19" ht="15" customHeight="1" x14ac:dyDescent="0.3">
      <c r="A851">
        <v>850</v>
      </c>
      <c r="B851" t="s">
        <v>1252</v>
      </c>
      <c r="C851">
        <v>1130175</v>
      </c>
      <c r="D851" t="s">
        <v>392</v>
      </c>
      <c r="E851">
        <v>49</v>
      </c>
      <c r="F851" t="s">
        <v>76</v>
      </c>
      <c r="G851" s="10">
        <v>45326</v>
      </c>
      <c r="H851" t="s">
        <v>38</v>
      </c>
      <c r="I851" t="s">
        <v>82</v>
      </c>
      <c r="J851" t="s">
        <v>53</v>
      </c>
      <c r="K851" t="s">
        <v>132</v>
      </c>
      <c r="L851" t="s">
        <v>57</v>
      </c>
      <c r="M851" t="s">
        <v>315</v>
      </c>
      <c r="N851">
        <v>4</v>
      </c>
      <c r="O851" t="s">
        <v>117</v>
      </c>
      <c r="P851" s="11">
        <v>7500</v>
      </c>
      <c r="Q851" t="s">
        <v>70</v>
      </c>
      <c r="R851" s="11">
        <f t="shared" si="26"/>
        <v>7500</v>
      </c>
      <c r="S851" t="str">
        <f t="shared" si="27"/>
        <v>Repeat</v>
      </c>
    </row>
    <row r="852" spans="1:19" ht="15" customHeight="1" x14ac:dyDescent="0.3">
      <c r="A852">
        <v>851</v>
      </c>
      <c r="B852" t="s">
        <v>1252</v>
      </c>
      <c r="C852">
        <v>1130175</v>
      </c>
      <c r="D852" t="s">
        <v>392</v>
      </c>
      <c r="E852">
        <v>47</v>
      </c>
      <c r="F852" t="s">
        <v>76</v>
      </c>
      <c r="G852" s="10">
        <v>45326</v>
      </c>
      <c r="H852" t="s">
        <v>38</v>
      </c>
      <c r="I852" t="s">
        <v>82</v>
      </c>
      <c r="J852" t="s">
        <v>53</v>
      </c>
      <c r="K852" t="s">
        <v>132</v>
      </c>
      <c r="L852" t="s">
        <v>57</v>
      </c>
      <c r="M852" t="s">
        <v>315</v>
      </c>
      <c r="N852">
        <v>1</v>
      </c>
      <c r="O852" t="s">
        <v>117</v>
      </c>
      <c r="P852" s="11">
        <v>7500</v>
      </c>
      <c r="Q852" t="s">
        <v>1253</v>
      </c>
      <c r="R852" s="11">
        <f t="shared" si="26"/>
        <v>7500</v>
      </c>
      <c r="S852" t="str">
        <f t="shared" si="27"/>
        <v>Repeat</v>
      </c>
    </row>
    <row r="853" spans="1:19" ht="15" customHeight="1" x14ac:dyDescent="0.3">
      <c r="A853">
        <v>852</v>
      </c>
      <c r="B853" t="s">
        <v>1254</v>
      </c>
      <c r="C853">
        <v>4898598</v>
      </c>
      <c r="D853" t="s">
        <v>392</v>
      </c>
      <c r="E853">
        <v>40</v>
      </c>
      <c r="F853" t="s">
        <v>76</v>
      </c>
      <c r="G853" s="10">
        <v>45326</v>
      </c>
      <c r="H853" t="s">
        <v>38</v>
      </c>
      <c r="I853" t="s">
        <v>82</v>
      </c>
      <c r="J853" t="s">
        <v>53</v>
      </c>
      <c r="K853" t="s">
        <v>132</v>
      </c>
      <c r="L853" t="s">
        <v>57</v>
      </c>
      <c r="M853" t="s">
        <v>315</v>
      </c>
      <c r="N853">
        <v>47</v>
      </c>
      <c r="O853" t="s">
        <v>117</v>
      </c>
      <c r="P853" s="11">
        <v>7500</v>
      </c>
      <c r="Q853" t="s">
        <v>1221</v>
      </c>
      <c r="R853" s="11">
        <f t="shared" si="26"/>
        <v>7500</v>
      </c>
      <c r="S853" t="str">
        <f t="shared" si="27"/>
        <v>One-Time</v>
      </c>
    </row>
    <row r="854" spans="1:19" ht="15" customHeight="1" x14ac:dyDescent="0.3">
      <c r="A854">
        <v>853</v>
      </c>
      <c r="B854" t="s">
        <v>1255</v>
      </c>
      <c r="C854">
        <v>3795610</v>
      </c>
      <c r="D854" t="s">
        <v>392</v>
      </c>
      <c r="E854">
        <v>21</v>
      </c>
      <c r="F854" t="s">
        <v>75</v>
      </c>
      <c r="G854" s="10">
        <v>45326</v>
      </c>
      <c r="H854" t="s">
        <v>38</v>
      </c>
      <c r="I854" t="s">
        <v>84</v>
      </c>
      <c r="J854" t="s">
        <v>53</v>
      </c>
      <c r="K854" t="s">
        <v>132</v>
      </c>
      <c r="L854" t="s">
        <v>57</v>
      </c>
      <c r="M854" t="s">
        <v>315</v>
      </c>
      <c r="N854">
        <v>8</v>
      </c>
      <c r="O854" t="s">
        <v>117</v>
      </c>
      <c r="P854" s="11">
        <v>7500</v>
      </c>
      <c r="Q854" t="s">
        <v>677</v>
      </c>
      <c r="R854" s="11">
        <f t="shared" si="26"/>
        <v>0</v>
      </c>
      <c r="S854" t="str">
        <f t="shared" si="27"/>
        <v>One-Time</v>
      </c>
    </row>
    <row r="855" spans="1:19" ht="15" customHeight="1" x14ac:dyDescent="0.3">
      <c r="A855">
        <v>854</v>
      </c>
      <c r="B855" t="s">
        <v>1256</v>
      </c>
      <c r="C855">
        <v>7823038</v>
      </c>
      <c r="D855" t="s">
        <v>392</v>
      </c>
      <c r="E855">
        <v>33</v>
      </c>
      <c r="F855" t="s">
        <v>76</v>
      </c>
      <c r="G855" s="10">
        <v>45326</v>
      </c>
      <c r="H855" t="s">
        <v>38</v>
      </c>
      <c r="I855" t="s">
        <v>82</v>
      </c>
      <c r="J855" t="s">
        <v>53</v>
      </c>
      <c r="K855" t="s">
        <v>132</v>
      </c>
      <c r="L855" t="s">
        <v>57</v>
      </c>
      <c r="M855" t="s">
        <v>315</v>
      </c>
      <c r="N855">
        <v>4</v>
      </c>
      <c r="O855" t="s">
        <v>117</v>
      </c>
      <c r="P855" s="11">
        <v>7500</v>
      </c>
      <c r="Q855" t="s">
        <v>64</v>
      </c>
      <c r="R855" s="11">
        <f t="shared" si="26"/>
        <v>7500</v>
      </c>
      <c r="S855" t="str">
        <f t="shared" si="27"/>
        <v>One-Time</v>
      </c>
    </row>
    <row r="856" spans="1:19" ht="15" customHeight="1" x14ac:dyDescent="0.3">
      <c r="A856">
        <v>855</v>
      </c>
      <c r="B856" t="s">
        <v>1257</v>
      </c>
      <c r="C856">
        <v>1437321</v>
      </c>
      <c r="D856" t="s">
        <v>392</v>
      </c>
      <c r="E856">
        <v>49</v>
      </c>
      <c r="F856" t="s">
        <v>76</v>
      </c>
      <c r="G856" s="10">
        <v>45326</v>
      </c>
      <c r="H856" t="s">
        <v>38</v>
      </c>
      <c r="I856" t="s">
        <v>82</v>
      </c>
      <c r="J856" t="s">
        <v>53</v>
      </c>
      <c r="K856" t="s">
        <v>132</v>
      </c>
      <c r="L856" t="s">
        <v>57</v>
      </c>
      <c r="M856" t="s">
        <v>315</v>
      </c>
      <c r="N856">
        <v>5</v>
      </c>
      <c r="O856" t="s">
        <v>117</v>
      </c>
      <c r="P856" s="11">
        <v>7500</v>
      </c>
      <c r="Q856" t="s">
        <v>1258</v>
      </c>
      <c r="R856" s="11">
        <f t="shared" si="26"/>
        <v>7500</v>
      </c>
      <c r="S856" t="str">
        <f t="shared" si="27"/>
        <v>One-Time</v>
      </c>
    </row>
    <row r="857" spans="1:19" ht="15" customHeight="1" x14ac:dyDescent="0.3">
      <c r="A857">
        <v>856</v>
      </c>
      <c r="B857" t="s">
        <v>1259</v>
      </c>
      <c r="C857">
        <v>7153481</v>
      </c>
      <c r="D857" t="s">
        <v>392</v>
      </c>
      <c r="E857">
        <v>40</v>
      </c>
      <c r="F857" t="s">
        <v>76</v>
      </c>
      <c r="G857" s="10">
        <v>45326</v>
      </c>
      <c r="H857" t="s">
        <v>38</v>
      </c>
      <c r="I857" t="s">
        <v>82</v>
      </c>
      <c r="J857" t="s">
        <v>53</v>
      </c>
      <c r="K857" t="s">
        <v>132</v>
      </c>
      <c r="L857" t="s">
        <v>57</v>
      </c>
      <c r="M857" t="s">
        <v>315</v>
      </c>
      <c r="N857">
        <v>6</v>
      </c>
      <c r="O857" t="s">
        <v>117</v>
      </c>
      <c r="P857" s="11">
        <v>5800</v>
      </c>
      <c r="Q857" t="s">
        <v>223</v>
      </c>
      <c r="R857" s="11">
        <f t="shared" si="26"/>
        <v>5800</v>
      </c>
      <c r="S857" t="str">
        <f t="shared" si="27"/>
        <v>One-Time</v>
      </c>
    </row>
    <row r="858" spans="1:19" ht="15" customHeight="1" x14ac:dyDescent="0.3">
      <c r="A858">
        <v>857</v>
      </c>
      <c r="B858" t="s">
        <v>1260</v>
      </c>
      <c r="C858">
        <v>1576659</v>
      </c>
      <c r="D858" t="s">
        <v>392</v>
      </c>
      <c r="E858">
        <v>24</v>
      </c>
      <c r="F858" t="s">
        <v>75</v>
      </c>
      <c r="G858" s="10">
        <v>45326</v>
      </c>
      <c r="H858" t="s">
        <v>38</v>
      </c>
      <c r="I858" t="s">
        <v>84</v>
      </c>
      <c r="J858" t="s">
        <v>53</v>
      </c>
      <c r="K858" t="s">
        <v>132</v>
      </c>
      <c r="L858" t="s">
        <v>57</v>
      </c>
      <c r="M858" t="s">
        <v>315</v>
      </c>
      <c r="N858">
        <v>31</v>
      </c>
      <c r="O858" t="s">
        <v>117</v>
      </c>
      <c r="P858" s="11">
        <v>5800</v>
      </c>
      <c r="Q858" t="s">
        <v>64</v>
      </c>
      <c r="R858" s="11">
        <f t="shared" si="26"/>
        <v>0</v>
      </c>
      <c r="S858" t="str">
        <f t="shared" si="27"/>
        <v>One-Time</v>
      </c>
    </row>
    <row r="859" spans="1:19" ht="15" customHeight="1" x14ac:dyDescent="0.3">
      <c r="A859">
        <v>858</v>
      </c>
      <c r="B859" t="s">
        <v>1261</v>
      </c>
      <c r="C859">
        <v>5072383</v>
      </c>
      <c r="D859" t="s">
        <v>392</v>
      </c>
      <c r="E859">
        <v>31</v>
      </c>
      <c r="F859" t="s">
        <v>76</v>
      </c>
      <c r="G859" s="10">
        <v>45326</v>
      </c>
      <c r="H859" t="s">
        <v>38</v>
      </c>
      <c r="I859" t="s">
        <v>82</v>
      </c>
      <c r="J859" t="s">
        <v>53</v>
      </c>
      <c r="K859" t="s">
        <v>132</v>
      </c>
      <c r="L859" t="s">
        <v>57</v>
      </c>
      <c r="M859" t="s">
        <v>315</v>
      </c>
      <c r="N859">
        <v>2</v>
      </c>
      <c r="O859" t="s">
        <v>117</v>
      </c>
      <c r="P859" s="11">
        <v>5800</v>
      </c>
      <c r="Q859" t="s">
        <v>62</v>
      </c>
      <c r="R859" s="11">
        <f t="shared" si="26"/>
        <v>5800</v>
      </c>
      <c r="S859" t="str">
        <f t="shared" si="27"/>
        <v>One-Time</v>
      </c>
    </row>
    <row r="860" spans="1:19" ht="15" customHeight="1" x14ac:dyDescent="0.3">
      <c r="A860">
        <v>859</v>
      </c>
      <c r="B860" t="s">
        <v>1262</v>
      </c>
      <c r="C860">
        <v>5832764</v>
      </c>
      <c r="D860" t="s">
        <v>392</v>
      </c>
      <c r="E860">
        <v>34</v>
      </c>
      <c r="F860" t="s">
        <v>76</v>
      </c>
      <c r="G860" s="10">
        <v>45326</v>
      </c>
      <c r="H860" t="s">
        <v>38</v>
      </c>
      <c r="I860" t="s">
        <v>82</v>
      </c>
      <c r="J860" t="s">
        <v>53</v>
      </c>
      <c r="K860" t="s">
        <v>132</v>
      </c>
      <c r="L860" t="s">
        <v>57</v>
      </c>
      <c r="M860" t="s">
        <v>315</v>
      </c>
      <c r="N860">
        <v>5</v>
      </c>
      <c r="O860" t="s">
        <v>117</v>
      </c>
      <c r="P860" s="11">
        <v>5800</v>
      </c>
      <c r="Q860" t="s">
        <v>70</v>
      </c>
      <c r="R860" s="11">
        <f t="shared" si="26"/>
        <v>5800</v>
      </c>
      <c r="S860" t="str">
        <f t="shared" si="27"/>
        <v>One-Time</v>
      </c>
    </row>
    <row r="861" spans="1:19" ht="15" customHeight="1" x14ac:dyDescent="0.3">
      <c r="A861">
        <v>860</v>
      </c>
      <c r="B861" t="s">
        <v>1263</v>
      </c>
      <c r="C861">
        <v>8588805</v>
      </c>
      <c r="D861" t="s">
        <v>392</v>
      </c>
      <c r="E861">
        <v>27</v>
      </c>
      <c r="F861" t="s">
        <v>75</v>
      </c>
      <c r="G861" s="10">
        <v>45326</v>
      </c>
      <c r="H861" t="s">
        <v>38</v>
      </c>
      <c r="I861" t="s">
        <v>85</v>
      </c>
      <c r="J861" t="s">
        <v>53</v>
      </c>
      <c r="K861" t="s">
        <v>125</v>
      </c>
      <c r="L861" t="s">
        <v>57</v>
      </c>
      <c r="M861" t="s">
        <v>315</v>
      </c>
      <c r="N861">
        <v>5</v>
      </c>
      <c r="O861" t="s">
        <v>117</v>
      </c>
      <c r="P861" s="11">
        <v>5800</v>
      </c>
      <c r="Q861" t="s">
        <v>1264</v>
      </c>
      <c r="R861" s="11">
        <f t="shared" si="26"/>
        <v>0</v>
      </c>
      <c r="S861" t="str">
        <f t="shared" si="27"/>
        <v>One-Time</v>
      </c>
    </row>
    <row r="862" spans="1:19" ht="15" customHeight="1" x14ac:dyDescent="0.3">
      <c r="A862">
        <v>861</v>
      </c>
      <c r="B862" t="s">
        <v>1265</v>
      </c>
      <c r="C862">
        <v>1545696</v>
      </c>
      <c r="D862" t="s">
        <v>392</v>
      </c>
      <c r="E862">
        <v>25</v>
      </c>
      <c r="F862" t="s">
        <v>75</v>
      </c>
      <c r="G862" s="10">
        <v>45326</v>
      </c>
      <c r="H862" t="s">
        <v>38</v>
      </c>
      <c r="I862" t="s">
        <v>82</v>
      </c>
      <c r="J862" t="s">
        <v>53</v>
      </c>
      <c r="K862" t="s">
        <v>125</v>
      </c>
      <c r="L862" t="s">
        <v>57</v>
      </c>
      <c r="M862" t="s">
        <v>315</v>
      </c>
      <c r="N862">
        <v>8</v>
      </c>
      <c r="O862" t="s">
        <v>117</v>
      </c>
      <c r="P862" s="11">
        <v>5800</v>
      </c>
      <c r="Q862" t="s">
        <v>64</v>
      </c>
      <c r="R862" s="11">
        <f t="shared" si="26"/>
        <v>5800</v>
      </c>
      <c r="S862" t="str">
        <f t="shared" si="27"/>
        <v>One-Time</v>
      </c>
    </row>
    <row r="863" spans="1:19" ht="15" customHeight="1" x14ac:dyDescent="0.3">
      <c r="A863">
        <v>862</v>
      </c>
      <c r="B863" t="s">
        <v>1266</v>
      </c>
      <c r="C863">
        <v>1757235</v>
      </c>
      <c r="D863" t="s">
        <v>392</v>
      </c>
      <c r="E863">
        <v>29</v>
      </c>
      <c r="F863" t="s">
        <v>75</v>
      </c>
      <c r="G863" s="10">
        <v>45326</v>
      </c>
      <c r="H863" t="s">
        <v>38</v>
      </c>
      <c r="I863" t="s">
        <v>82</v>
      </c>
      <c r="J863" t="s">
        <v>53</v>
      </c>
      <c r="K863" t="s">
        <v>125</v>
      </c>
      <c r="L863" t="s">
        <v>57</v>
      </c>
      <c r="M863" t="s">
        <v>315</v>
      </c>
      <c r="N863">
        <v>9</v>
      </c>
      <c r="O863" t="s">
        <v>117</v>
      </c>
      <c r="P863" s="11">
        <v>5500</v>
      </c>
      <c r="Q863" t="s">
        <v>1267</v>
      </c>
      <c r="R863" s="11">
        <f t="shared" si="26"/>
        <v>5500</v>
      </c>
      <c r="S863" t="str">
        <f t="shared" si="27"/>
        <v>One-Time</v>
      </c>
    </row>
    <row r="864" spans="1:19" ht="15" customHeight="1" x14ac:dyDescent="0.3">
      <c r="A864">
        <v>863</v>
      </c>
      <c r="B864" t="s">
        <v>1268</v>
      </c>
      <c r="C864">
        <v>448685</v>
      </c>
      <c r="D864" t="s">
        <v>392</v>
      </c>
      <c r="E864">
        <v>30</v>
      </c>
      <c r="F864" t="s">
        <v>76</v>
      </c>
      <c r="G864" s="10">
        <v>45326</v>
      </c>
      <c r="H864" t="s">
        <v>38</v>
      </c>
      <c r="I864" t="s">
        <v>82</v>
      </c>
      <c r="J864" t="s">
        <v>53</v>
      </c>
      <c r="K864" t="s">
        <v>125</v>
      </c>
      <c r="L864" t="s">
        <v>57</v>
      </c>
      <c r="M864" t="s">
        <v>315</v>
      </c>
      <c r="N864">
        <v>4</v>
      </c>
      <c r="O864" t="s">
        <v>117</v>
      </c>
      <c r="P864" s="11">
        <v>5500</v>
      </c>
      <c r="Q864" t="s">
        <v>155</v>
      </c>
      <c r="R864" s="11">
        <f t="shared" si="26"/>
        <v>5500</v>
      </c>
      <c r="S864" t="str">
        <f t="shared" si="27"/>
        <v>One-Time</v>
      </c>
    </row>
    <row r="865" spans="1:19" ht="15" customHeight="1" x14ac:dyDescent="0.3">
      <c r="A865">
        <v>864</v>
      </c>
      <c r="B865" t="s">
        <v>1269</v>
      </c>
      <c r="C865">
        <v>1347567</v>
      </c>
      <c r="D865" t="s">
        <v>392</v>
      </c>
      <c r="E865">
        <v>26</v>
      </c>
      <c r="F865" t="s">
        <v>75</v>
      </c>
      <c r="G865" s="10">
        <v>45326</v>
      </c>
      <c r="H865" t="s">
        <v>38</v>
      </c>
      <c r="I865" t="s">
        <v>84</v>
      </c>
      <c r="J865" t="s">
        <v>53</v>
      </c>
      <c r="K865" t="s">
        <v>125</v>
      </c>
      <c r="L865" t="s">
        <v>57</v>
      </c>
      <c r="M865" t="s">
        <v>315</v>
      </c>
      <c r="N865">
        <v>7</v>
      </c>
      <c r="O865" t="s">
        <v>117</v>
      </c>
      <c r="P865" s="11">
        <v>5500</v>
      </c>
      <c r="Q865" t="s">
        <v>1270</v>
      </c>
      <c r="R865" s="11">
        <f t="shared" si="26"/>
        <v>0</v>
      </c>
      <c r="S865" t="str">
        <f t="shared" si="27"/>
        <v>Repeat</v>
      </c>
    </row>
    <row r="866" spans="1:19" ht="15" customHeight="1" x14ac:dyDescent="0.3">
      <c r="A866">
        <v>865</v>
      </c>
      <c r="B866" t="s">
        <v>1269</v>
      </c>
      <c r="C866">
        <v>1347567</v>
      </c>
      <c r="D866" t="s">
        <v>392</v>
      </c>
      <c r="E866">
        <v>46</v>
      </c>
      <c r="F866" t="s">
        <v>76</v>
      </c>
      <c r="G866" s="10">
        <v>45326</v>
      </c>
      <c r="H866" t="s">
        <v>38</v>
      </c>
      <c r="I866" t="s">
        <v>84</v>
      </c>
      <c r="J866" t="s">
        <v>53</v>
      </c>
      <c r="K866" t="s">
        <v>125</v>
      </c>
      <c r="L866" t="s">
        <v>57</v>
      </c>
      <c r="M866" t="s">
        <v>315</v>
      </c>
      <c r="N866">
        <v>8</v>
      </c>
      <c r="O866" t="s">
        <v>117</v>
      </c>
      <c r="P866" s="11">
        <v>5500</v>
      </c>
      <c r="Q866" t="s">
        <v>64</v>
      </c>
      <c r="R866" s="11">
        <f t="shared" si="26"/>
        <v>0</v>
      </c>
      <c r="S866" t="str">
        <f t="shared" si="27"/>
        <v>Repeat</v>
      </c>
    </row>
    <row r="867" spans="1:19" ht="15" customHeight="1" x14ac:dyDescent="0.3">
      <c r="A867">
        <v>866</v>
      </c>
      <c r="B867" t="s">
        <v>1271</v>
      </c>
      <c r="C867">
        <v>2837536</v>
      </c>
      <c r="D867" t="s">
        <v>392</v>
      </c>
      <c r="E867">
        <v>32</v>
      </c>
      <c r="F867" t="s">
        <v>76</v>
      </c>
      <c r="G867" s="10">
        <v>45326</v>
      </c>
      <c r="H867" t="s">
        <v>38</v>
      </c>
      <c r="I867" t="s">
        <v>82</v>
      </c>
      <c r="J867" t="s">
        <v>53</v>
      </c>
      <c r="K867" t="s">
        <v>125</v>
      </c>
      <c r="L867" t="s">
        <v>57</v>
      </c>
      <c r="M867" t="s">
        <v>315</v>
      </c>
      <c r="N867">
        <v>9</v>
      </c>
      <c r="O867" t="s">
        <v>117</v>
      </c>
      <c r="P867" s="11">
        <v>5500</v>
      </c>
      <c r="Q867" t="s">
        <v>1272</v>
      </c>
      <c r="R867" s="11">
        <f t="shared" si="26"/>
        <v>5500</v>
      </c>
      <c r="S867" t="str">
        <f t="shared" si="27"/>
        <v>One-Time</v>
      </c>
    </row>
    <row r="868" spans="1:19" ht="15" customHeight="1" x14ac:dyDescent="0.3">
      <c r="A868">
        <v>867</v>
      </c>
      <c r="B868" t="s">
        <v>1273</v>
      </c>
      <c r="C868">
        <v>6876247</v>
      </c>
      <c r="D868" t="s">
        <v>392</v>
      </c>
      <c r="E868">
        <v>78</v>
      </c>
      <c r="F868" t="s">
        <v>77</v>
      </c>
      <c r="G868" s="10">
        <v>45326</v>
      </c>
      <c r="H868" t="s">
        <v>38</v>
      </c>
      <c r="I868" t="s">
        <v>83</v>
      </c>
      <c r="J868" t="s">
        <v>53</v>
      </c>
      <c r="K868" t="s">
        <v>125</v>
      </c>
      <c r="L868" t="s">
        <v>59</v>
      </c>
      <c r="M868" t="s">
        <v>315</v>
      </c>
      <c r="N868">
        <v>7</v>
      </c>
      <c r="O868" t="s">
        <v>117</v>
      </c>
      <c r="P868" s="11">
        <v>6000</v>
      </c>
      <c r="Q868" t="s">
        <v>1274</v>
      </c>
      <c r="R868" s="11">
        <f t="shared" si="26"/>
        <v>0</v>
      </c>
      <c r="S868" t="str">
        <f t="shared" si="27"/>
        <v>One-Time</v>
      </c>
    </row>
    <row r="869" spans="1:19" ht="15" customHeight="1" x14ac:dyDescent="0.3">
      <c r="A869">
        <v>868</v>
      </c>
      <c r="B869" t="s">
        <v>1275</v>
      </c>
      <c r="C869">
        <v>4416097</v>
      </c>
      <c r="D869" t="s">
        <v>392</v>
      </c>
      <c r="E869">
        <v>35</v>
      </c>
      <c r="F869" t="s">
        <v>76</v>
      </c>
      <c r="G869" s="10">
        <v>45326</v>
      </c>
      <c r="H869" t="s">
        <v>38</v>
      </c>
      <c r="I869" t="s">
        <v>82</v>
      </c>
      <c r="J869" t="s">
        <v>53</v>
      </c>
      <c r="K869" t="s">
        <v>125</v>
      </c>
      <c r="L869" t="s">
        <v>59</v>
      </c>
      <c r="M869" t="s">
        <v>315</v>
      </c>
      <c r="N869">
        <v>6</v>
      </c>
      <c r="O869" t="s">
        <v>117</v>
      </c>
      <c r="P869" s="11">
        <v>6000</v>
      </c>
      <c r="Q869" t="s">
        <v>66</v>
      </c>
      <c r="R869" s="11">
        <f t="shared" si="26"/>
        <v>6000</v>
      </c>
      <c r="S869" t="str">
        <f t="shared" si="27"/>
        <v>One-Time</v>
      </c>
    </row>
    <row r="870" spans="1:19" ht="15" customHeight="1" x14ac:dyDescent="0.3">
      <c r="A870">
        <v>869</v>
      </c>
      <c r="B870" t="s">
        <v>1276</v>
      </c>
      <c r="C870">
        <v>190504</v>
      </c>
      <c r="D870" t="s">
        <v>392</v>
      </c>
      <c r="E870">
        <v>46</v>
      </c>
      <c r="F870" t="s">
        <v>76</v>
      </c>
      <c r="G870" s="10">
        <v>45326</v>
      </c>
      <c r="H870" t="s">
        <v>38</v>
      </c>
      <c r="I870" t="s">
        <v>82</v>
      </c>
      <c r="J870" t="s">
        <v>53</v>
      </c>
      <c r="K870" t="s">
        <v>125</v>
      </c>
      <c r="L870" t="s">
        <v>59</v>
      </c>
      <c r="M870" t="s">
        <v>122</v>
      </c>
      <c r="N870">
        <v>2</v>
      </c>
      <c r="O870" t="s">
        <v>117</v>
      </c>
      <c r="P870" s="11">
        <v>6000</v>
      </c>
      <c r="Q870" t="s">
        <v>64</v>
      </c>
      <c r="R870" s="11">
        <f t="shared" si="26"/>
        <v>6000</v>
      </c>
      <c r="S870" t="str">
        <f t="shared" si="27"/>
        <v>One-Time</v>
      </c>
    </row>
    <row r="871" spans="1:19" ht="15" customHeight="1" x14ac:dyDescent="0.3">
      <c r="A871">
        <v>870</v>
      </c>
      <c r="B871" t="s">
        <v>1277</v>
      </c>
      <c r="C871">
        <v>4803090</v>
      </c>
      <c r="D871" t="s">
        <v>392</v>
      </c>
      <c r="E871">
        <v>67</v>
      </c>
      <c r="F871" t="s">
        <v>77</v>
      </c>
      <c r="G871" s="10">
        <v>45326</v>
      </c>
      <c r="H871" t="s">
        <v>38</v>
      </c>
      <c r="I871" t="s">
        <v>82</v>
      </c>
      <c r="J871" t="s">
        <v>53</v>
      </c>
      <c r="K871" t="s">
        <v>125</v>
      </c>
      <c r="L871" t="s">
        <v>59</v>
      </c>
      <c r="M871" t="s">
        <v>122</v>
      </c>
      <c r="N871">
        <v>8</v>
      </c>
      <c r="O871" t="s">
        <v>117</v>
      </c>
      <c r="P871" s="11">
        <v>6000</v>
      </c>
      <c r="Q871" t="s">
        <v>643</v>
      </c>
      <c r="R871" s="11">
        <f t="shared" si="26"/>
        <v>6000</v>
      </c>
      <c r="S871" t="str">
        <f t="shared" si="27"/>
        <v>One-Time</v>
      </c>
    </row>
    <row r="872" spans="1:19" ht="15" customHeight="1" x14ac:dyDescent="0.3">
      <c r="A872">
        <v>871</v>
      </c>
      <c r="B872" t="s">
        <v>1278</v>
      </c>
      <c r="C872">
        <v>8571498</v>
      </c>
      <c r="D872" t="s">
        <v>392</v>
      </c>
      <c r="E872">
        <v>77</v>
      </c>
      <c r="F872" t="s">
        <v>77</v>
      </c>
      <c r="G872" s="10">
        <v>45326</v>
      </c>
      <c r="H872" t="s">
        <v>38</v>
      </c>
      <c r="I872" t="s">
        <v>84</v>
      </c>
      <c r="J872" t="s">
        <v>53</v>
      </c>
      <c r="K872" t="s">
        <v>125</v>
      </c>
      <c r="L872" t="s">
        <v>59</v>
      </c>
      <c r="M872" t="s">
        <v>122</v>
      </c>
      <c r="N872">
        <v>4</v>
      </c>
      <c r="O872" t="s">
        <v>117</v>
      </c>
      <c r="P872" s="11">
        <v>6000</v>
      </c>
      <c r="Q872" t="s">
        <v>66</v>
      </c>
      <c r="R872" s="11">
        <f t="shared" si="26"/>
        <v>0</v>
      </c>
      <c r="S872" t="str">
        <f t="shared" si="27"/>
        <v>One-Time</v>
      </c>
    </row>
    <row r="873" spans="1:19" ht="15" customHeight="1" x14ac:dyDescent="0.3">
      <c r="A873">
        <v>872</v>
      </c>
      <c r="B873" t="s">
        <v>1279</v>
      </c>
      <c r="C873">
        <v>5114197</v>
      </c>
      <c r="D873" t="s">
        <v>114</v>
      </c>
      <c r="E873">
        <v>25</v>
      </c>
      <c r="F873" t="s">
        <v>75</v>
      </c>
      <c r="G873" s="10">
        <v>45366</v>
      </c>
      <c r="H873" t="s">
        <v>39</v>
      </c>
      <c r="I873" t="s">
        <v>82</v>
      </c>
      <c r="J873" t="s">
        <v>53</v>
      </c>
      <c r="K873" t="s">
        <v>125</v>
      </c>
      <c r="L873" t="s">
        <v>59</v>
      </c>
      <c r="M873" t="s">
        <v>122</v>
      </c>
      <c r="N873">
        <v>6</v>
      </c>
      <c r="O873" t="s">
        <v>117</v>
      </c>
      <c r="P873" s="11">
        <v>6000</v>
      </c>
      <c r="Q873" t="s">
        <v>66</v>
      </c>
      <c r="R873" s="11">
        <f t="shared" si="26"/>
        <v>6000</v>
      </c>
      <c r="S873" t="str">
        <f t="shared" si="27"/>
        <v>One-Time</v>
      </c>
    </row>
    <row r="874" spans="1:19" ht="15" customHeight="1" x14ac:dyDescent="0.3">
      <c r="A874">
        <v>873</v>
      </c>
      <c r="B874" t="s">
        <v>1280</v>
      </c>
      <c r="C874">
        <v>1461366</v>
      </c>
      <c r="D874" t="s">
        <v>114</v>
      </c>
      <c r="E874">
        <v>33</v>
      </c>
      <c r="F874" t="s">
        <v>76</v>
      </c>
      <c r="G874" s="10">
        <v>45367</v>
      </c>
      <c r="H874" t="s">
        <v>39</v>
      </c>
      <c r="I874" t="s">
        <v>82</v>
      </c>
      <c r="J874" t="s">
        <v>53</v>
      </c>
      <c r="K874" t="s">
        <v>125</v>
      </c>
      <c r="L874" t="s">
        <v>59</v>
      </c>
      <c r="M874" t="s">
        <v>122</v>
      </c>
      <c r="N874">
        <v>5</v>
      </c>
      <c r="O874" t="s">
        <v>117</v>
      </c>
      <c r="P874" s="11">
        <v>6000</v>
      </c>
      <c r="Q874" t="s">
        <v>524</v>
      </c>
      <c r="R874" s="11">
        <f t="shared" si="26"/>
        <v>6000</v>
      </c>
      <c r="S874" t="str">
        <f t="shared" si="27"/>
        <v>One-Time</v>
      </c>
    </row>
    <row r="875" spans="1:19" ht="15" customHeight="1" x14ac:dyDescent="0.3">
      <c r="A875">
        <v>874</v>
      </c>
      <c r="B875" t="s">
        <v>1281</v>
      </c>
      <c r="C875">
        <v>7633246</v>
      </c>
      <c r="D875" t="s">
        <v>114</v>
      </c>
      <c r="E875">
        <v>72</v>
      </c>
      <c r="F875" t="s">
        <v>77</v>
      </c>
      <c r="G875" s="10">
        <v>45368</v>
      </c>
      <c r="H875" t="s">
        <v>39</v>
      </c>
      <c r="I875" t="s">
        <v>82</v>
      </c>
      <c r="J875" t="s">
        <v>53</v>
      </c>
      <c r="K875" t="s">
        <v>125</v>
      </c>
      <c r="L875" t="s">
        <v>59</v>
      </c>
      <c r="M875" t="s">
        <v>122</v>
      </c>
      <c r="N875">
        <v>23</v>
      </c>
      <c r="O875" t="s">
        <v>117</v>
      </c>
      <c r="P875" s="11">
        <v>6000</v>
      </c>
      <c r="Q875" t="s">
        <v>1282</v>
      </c>
      <c r="R875" s="11">
        <f t="shared" si="26"/>
        <v>6000</v>
      </c>
      <c r="S875" t="str">
        <f t="shared" si="27"/>
        <v>One-Time</v>
      </c>
    </row>
    <row r="876" spans="1:19" ht="15" customHeight="1" x14ac:dyDescent="0.3">
      <c r="A876">
        <v>875</v>
      </c>
      <c r="B876" t="s">
        <v>1283</v>
      </c>
      <c r="C876">
        <v>5938534</v>
      </c>
      <c r="D876" t="s">
        <v>114</v>
      </c>
      <c r="E876">
        <v>57</v>
      </c>
      <c r="F876" t="s">
        <v>77</v>
      </c>
      <c r="G876" s="10">
        <v>45369</v>
      </c>
      <c r="H876" t="s">
        <v>39</v>
      </c>
      <c r="I876" t="s">
        <v>82</v>
      </c>
      <c r="J876" t="s">
        <v>53</v>
      </c>
      <c r="K876" t="s">
        <v>125</v>
      </c>
      <c r="L876" t="s">
        <v>59</v>
      </c>
      <c r="M876" t="s">
        <v>122</v>
      </c>
      <c r="N876">
        <v>2</v>
      </c>
      <c r="O876" t="s">
        <v>117</v>
      </c>
      <c r="P876" s="11">
        <v>6000</v>
      </c>
      <c r="Q876" t="s">
        <v>1284</v>
      </c>
      <c r="R876" s="11">
        <f t="shared" si="26"/>
        <v>6000</v>
      </c>
      <c r="S876" t="str">
        <f t="shared" si="27"/>
        <v>One-Time</v>
      </c>
    </row>
    <row r="877" spans="1:19" ht="15" customHeight="1" x14ac:dyDescent="0.3">
      <c r="A877">
        <v>876</v>
      </c>
      <c r="B877" t="s">
        <v>1285</v>
      </c>
      <c r="C877">
        <v>1289227</v>
      </c>
      <c r="D877" t="s">
        <v>114</v>
      </c>
      <c r="E877">
        <v>34</v>
      </c>
      <c r="F877" t="s">
        <v>76</v>
      </c>
      <c r="G877" s="10">
        <v>45370</v>
      </c>
      <c r="H877" t="s">
        <v>39</v>
      </c>
      <c r="I877" t="s">
        <v>82</v>
      </c>
      <c r="J877" t="s">
        <v>53</v>
      </c>
      <c r="K877" t="s">
        <v>125</v>
      </c>
      <c r="L877" t="s">
        <v>59</v>
      </c>
      <c r="M877" t="s">
        <v>122</v>
      </c>
      <c r="N877">
        <v>5</v>
      </c>
      <c r="O877" t="s">
        <v>117</v>
      </c>
      <c r="P877" s="11">
        <v>6000</v>
      </c>
      <c r="Q877" t="s">
        <v>294</v>
      </c>
      <c r="R877" s="11">
        <f t="shared" si="26"/>
        <v>6000</v>
      </c>
      <c r="S877" t="str">
        <f t="shared" si="27"/>
        <v>One-Time</v>
      </c>
    </row>
    <row r="878" spans="1:19" ht="15" customHeight="1" x14ac:dyDescent="0.3">
      <c r="A878">
        <v>877</v>
      </c>
      <c r="B878" t="s">
        <v>1286</v>
      </c>
      <c r="C878">
        <v>4143249</v>
      </c>
      <c r="D878" t="s">
        <v>114</v>
      </c>
      <c r="E878">
        <v>41</v>
      </c>
      <c r="F878" t="s">
        <v>76</v>
      </c>
      <c r="G878" s="10">
        <v>45371</v>
      </c>
      <c r="H878" t="s">
        <v>39</v>
      </c>
      <c r="I878" t="s">
        <v>84</v>
      </c>
      <c r="J878" t="s">
        <v>53</v>
      </c>
      <c r="K878" t="s">
        <v>125</v>
      </c>
      <c r="L878" t="s">
        <v>59</v>
      </c>
      <c r="M878" t="s">
        <v>122</v>
      </c>
      <c r="N878">
        <v>9</v>
      </c>
      <c r="O878" t="s">
        <v>117</v>
      </c>
      <c r="P878" s="11">
        <v>6000</v>
      </c>
      <c r="Q878" t="s">
        <v>250</v>
      </c>
      <c r="R878" s="11">
        <f t="shared" si="26"/>
        <v>0</v>
      </c>
      <c r="S878" t="str">
        <f t="shared" si="27"/>
        <v>One-Time</v>
      </c>
    </row>
    <row r="879" spans="1:19" ht="15" customHeight="1" x14ac:dyDescent="0.3">
      <c r="A879">
        <v>878</v>
      </c>
      <c r="B879" t="s">
        <v>1287</v>
      </c>
      <c r="C879">
        <v>3944282</v>
      </c>
      <c r="D879" t="s">
        <v>114</v>
      </c>
      <c r="E879">
        <v>47</v>
      </c>
      <c r="F879" t="s">
        <v>76</v>
      </c>
      <c r="G879" s="10">
        <v>45372</v>
      </c>
      <c r="H879" t="s">
        <v>39</v>
      </c>
      <c r="I879" t="s">
        <v>82</v>
      </c>
      <c r="J879" t="s">
        <v>53</v>
      </c>
      <c r="K879" t="s">
        <v>125</v>
      </c>
      <c r="L879" t="s">
        <v>59</v>
      </c>
      <c r="M879" t="s">
        <v>122</v>
      </c>
      <c r="N879">
        <v>27</v>
      </c>
      <c r="O879" t="s">
        <v>117</v>
      </c>
      <c r="P879" s="11">
        <v>6000</v>
      </c>
      <c r="Q879" t="s">
        <v>296</v>
      </c>
      <c r="R879" s="11">
        <f t="shared" si="26"/>
        <v>6000</v>
      </c>
      <c r="S879" t="str">
        <f t="shared" si="27"/>
        <v>One-Time</v>
      </c>
    </row>
    <row r="880" spans="1:19" ht="15" customHeight="1" x14ac:dyDescent="0.3">
      <c r="A880">
        <v>879</v>
      </c>
      <c r="B880" t="s">
        <v>1288</v>
      </c>
      <c r="C880">
        <v>8638286</v>
      </c>
      <c r="D880" t="s">
        <v>114</v>
      </c>
      <c r="E880">
        <v>30</v>
      </c>
      <c r="F880" t="s">
        <v>76</v>
      </c>
      <c r="G880" s="10">
        <v>45373</v>
      </c>
      <c r="H880" t="s">
        <v>39</v>
      </c>
      <c r="I880" t="s">
        <v>82</v>
      </c>
      <c r="J880" t="s">
        <v>53</v>
      </c>
      <c r="K880" t="s">
        <v>125</v>
      </c>
      <c r="L880" t="s">
        <v>59</v>
      </c>
      <c r="M880" t="s">
        <v>122</v>
      </c>
      <c r="N880">
        <v>6</v>
      </c>
      <c r="O880" t="s">
        <v>117</v>
      </c>
      <c r="P880" s="11">
        <v>6000</v>
      </c>
      <c r="Q880" t="s">
        <v>1289</v>
      </c>
      <c r="R880" s="11">
        <f t="shared" si="26"/>
        <v>6000</v>
      </c>
      <c r="S880" t="str">
        <f t="shared" si="27"/>
        <v>One-Time</v>
      </c>
    </row>
    <row r="881" spans="1:19" ht="15" customHeight="1" x14ac:dyDescent="0.3">
      <c r="A881">
        <v>880</v>
      </c>
      <c r="B881" t="s">
        <v>1290</v>
      </c>
      <c r="C881">
        <v>2785878</v>
      </c>
      <c r="D881" t="s">
        <v>114</v>
      </c>
      <c r="E881">
        <v>40</v>
      </c>
      <c r="F881" t="s">
        <v>76</v>
      </c>
      <c r="G881" s="10">
        <v>45374</v>
      </c>
      <c r="H881" t="s">
        <v>39</v>
      </c>
      <c r="I881" t="s">
        <v>82</v>
      </c>
      <c r="J881" t="s">
        <v>53</v>
      </c>
      <c r="K881" t="s">
        <v>125</v>
      </c>
      <c r="L881" t="s">
        <v>59</v>
      </c>
      <c r="M881" t="s">
        <v>122</v>
      </c>
      <c r="N881">
        <v>6</v>
      </c>
      <c r="O881" t="s">
        <v>117</v>
      </c>
      <c r="P881" s="11">
        <v>6000</v>
      </c>
      <c r="Q881" t="s">
        <v>1291</v>
      </c>
      <c r="R881" s="11">
        <f t="shared" si="26"/>
        <v>6000</v>
      </c>
      <c r="S881" t="str">
        <f t="shared" si="27"/>
        <v>One-Time</v>
      </c>
    </row>
    <row r="882" spans="1:19" ht="15" customHeight="1" x14ac:dyDescent="0.3">
      <c r="A882">
        <v>881</v>
      </c>
      <c r="B882" t="s">
        <v>1292</v>
      </c>
      <c r="C882">
        <v>315286</v>
      </c>
      <c r="D882" t="s">
        <v>114</v>
      </c>
      <c r="E882">
        <v>45</v>
      </c>
      <c r="F882" t="s">
        <v>76</v>
      </c>
      <c r="G882" s="10">
        <v>45375</v>
      </c>
      <c r="H882" t="s">
        <v>39</v>
      </c>
      <c r="I882" t="s">
        <v>82</v>
      </c>
      <c r="J882" t="s">
        <v>53</v>
      </c>
      <c r="K882" t="s">
        <v>125</v>
      </c>
      <c r="L882" t="s">
        <v>59</v>
      </c>
      <c r="M882" t="s">
        <v>122</v>
      </c>
      <c r="N882">
        <v>2</v>
      </c>
      <c r="O882" t="s">
        <v>117</v>
      </c>
      <c r="P882" s="11">
        <v>6000</v>
      </c>
      <c r="Q882" t="s">
        <v>62</v>
      </c>
      <c r="R882" s="11">
        <f t="shared" si="26"/>
        <v>6000</v>
      </c>
      <c r="S882" t="str">
        <f t="shared" si="27"/>
        <v>One-Time</v>
      </c>
    </row>
    <row r="883" spans="1:19" ht="15" customHeight="1" x14ac:dyDescent="0.3">
      <c r="A883">
        <v>882</v>
      </c>
      <c r="B883" t="s">
        <v>1293</v>
      </c>
      <c r="C883">
        <v>6270083</v>
      </c>
      <c r="D883" t="s">
        <v>114</v>
      </c>
      <c r="E883">
        <v>31</v>
      </c>
      <c r="F883" t="s">
        <v>76</v>
      </c>
      <c r="G883" s="10">
        <v>45376</v>
      </c>
      <c r="H883" t="s">
        <v>39</v>
      </c>
      <c r="I883" t="s">
        <v>82</v>
      </c>
      <c r="J883" t="s">
        <v>53</v>
      </c>
      <c r="K883" t="s">
        <v>125</v>
      </c>
      <c r="L883" t="s">
        <v>59</v>
      </c>
      <c r="M883" t="s">
        <v>122</v>
      </c>
      <c r="N883">
        <v>32</v>
      </c>
      <c r="O883" t="s">
        <v>117</v>
      </c>
      <c r="P883" s="11">
        <v>5900</v>
      </c>
      <c r="Q883" t="s">
        <v>68</v>
      </c>
      <c r="R883" s="11">
        <f t="shared" si="26"/>
        <v>5900</v>
      </c>
      <c r="S883" t="str">
        <f t="shared" si="27"/>
        <v>One-Time</v>
      </c>
    </row>
    <row r="884" spans="1:19" ht="15" customHeight="1" x14ac:dyDescent="0.3">
      <c r="A884">
        <v>883</v>
      </c>
      <c r="B884" t="s">
        <v>1294</v>
      </c>
      <c r="C884">
        <v>1058080</v>
      </c>
      <c r="D884" t="s">
        <v>114</v>
      </c>
      <c r="E884">
        <v>69</v>
      </c>
      <c r="F884" t="s">
        <v>77</v>
      </c>
      <c r="G884" s="10">
        <v>45377</v>
      </c>
      <c r="H884" t="s">
        <v>39</v>
      </c>
      <c r="I884" t="s">
        <v>85</v>
      </c>
      <c r="J884" t="s">
        <v>53</v>
      </c>
      <c r="K884" t="s">
        <v>125</v>
      </c>
      <c r="L884" t="s">
        <v>59</v>
      </c>
      <c r="M884" t="s">
        <v>122</v>
      </c>
      <c r="N884">
        <v>3</v>
      </c>
      <c r="O884" t="s">
        <v>117</v>
      </c>
      <c r="P884" s="11">
        <v>5900</v>
      </c>
      <c r="Q884" t="s">
        <v>63</v>
      </c>
      <c r="R884" s="11">
        <f t="shared" si="26"/>
        <v>0</v>
      </c>
      <c r="S884" t="str">
        <f t="shared" si="27"/>
        <v>One-Time</v>
      </c>
    </row>
    <row r="885" spans="1:19" ht="15" customHeight="1" x14ac:dyDescent="0.3">
      <c r="A885">
        <v>884</v>
      </c>
      <c r="B885" t="s">
        <v>1295</v>
      </c>
      <c r="C885">
        <v>4628219</v>
      </c>
      <c r="D885" t="s">
        <v>114</v>
      </c>
      <c r="E885">
        <v>36</v>
      </c>
      <c r="F885" t="s">
        <v>76</v>
      </c>
      <c r="G885" s="10">
        <v>45378</v>
      </c>
      <c r="H885" t="s">
        <v>39</v>
      </c>
      <c r="I885" t="s">
        <v>82</v>
      </c>
      <c r="J885" t="s">
        <v>53</v>
      </c>
      <c r="K885" t="s">
        <v>125</v>
      </c>
      <c r="L885" t="s">
        <v>59</v>
      </c>
      <c r="M885" t="s">
        <v>122</v>
      </c>
      <c r="N885">
        <v>48</v>
      </c>
      <c r="O885" t="s">
        <v>117</v>
      </c>
      <c r="P885" s="11">
        <v>5900</v>
      </c>
      <c r="Q885" t="s">
        <v>67</v>
      </c>
      <c r="R885" s="11">
        <f t="shared" si="26"/>
        <v>5900</v>
      </c>
      <c r="S885" t="str">
        <f t="shared" si="27"/>
        <v>One-Time</v>
      </c>
    </row>
    <row r="886" spans="1:19" ht="15" customHeight="1" x14ac:dyDescent="0.3">
      <c r="A886">
        <v>885</v>
      </c>
      <c r="B886" t="s">
        <v>1296</v>
      </c>
      <c r="C886">
        <v>7413963</v>
      </c>
      <c r="D886" t="s">
        <v>114</v>
      </c>
      <c r="E886">
        <v>35</v>
      </c>
      <c r="F886" t="s">
        <v>76</v>
      </c>
      <c r="G886" s="10">
        <v>45379</v>
      </c>
      <c r="H886" t="s">
        <v>39</v>
      </c>
      <c r="I886" t="s">
        <v>82</v>
      </c>
      <c r="J886" t="s">
        <v>53</v>
      </c>
      <c r="K886" t="s">
        <v>125</v>
      </c>
      <c r="L886" t="s">
        <v>59</v>
      </c>
      <c r="M886" t="s">
        <v>122</v>
      </c>
      <c r="N886">
        <v>5</v>
      </c>
      <c r="O886" t="s">
        <v>117</v>
      </c>
      <c r="P886" s="11">
        <v>5900</v>
      </c>
      <c r="Q886" t="s">
        <v>499</v>
      </c>
      <c r="R886" s="11">
        <f t="shared" si="26"/>
        <v>5900</v>
      </c>
      <c r="S886" t="str">
        <f t="shared" si="27"/>
        <v>One-Time</v>
      </c>
    </row>
    <row r="887" spans="1:19" ht="15" customHeight="1" x14ac:dyDescent="0.3">
      <c r="A887">
        <v>886</v>
      </c>
      <c r="B887" t="s">
        <v>1297</v>
      </c>
      <c r="C887">
        <v>9606909</v>
      </c>
      <c r="D887" t="s">
        <v>114</v>
      </c>
      <c r="E887">
        <v>25</v>
      </c>
      <c r="F887" t="s">
        <v>75</v>
      </c>
      <c r="G887" s="10">
        <v>45380</v>
      </c>
      <c r="H887" t="s">
        <v>39</v>
      </c>
      <c r="I887" t="s">
        <v>82</v>
      </c>
      <c r="J887" t="s">
        <v>53</v>
      </c>
      <c r="K887" t="s">
        <v>128</v>
      </c>
      <c r="L887" t="s">
        <v>59</v>
      </c>
      <c r="M887" t="s">
        <v>122</v>
      </c>
      <c r="N887">
        <v>2</v>
      </c>
      <c r="O887" t="s">
        <v>117</v>
      </c>
      <c r="P887" s="11">
        <v>5900</v>
      </c>
      <c r="Q887" t="s">
        <v>952</v>
      </c>
      <c r="R887" s="11">
        <f t="shared" si="26"/>
        <v>5900</v>
      </c>
      <c r="S887" t="str">
        <f t="shared" si="27"/>
        <v>One-Time</v>
      </c>
    </row>
    <row r="888" spans="1:19" ht="15" customHeight="1" x14ac:dyDescent="0.3">
      <c r="A888">
        <v>887</v>
      </c>
      <c r="B888" t="s">
        <v>1298</v>
      </c>
      <c r="C888">
        <v>9097278</v>
      </c>
      <c r="D888" t="s">
        <v>114</v>
      </c>
      <c r="E888">
        <v>37</v>
      </c>
      <c r="F888" t="s">
        <v>76</v>
      </c>
      <c r="G888" s="10">
        <v>45381</v>
      </c>
      <c r="H888" t="s">
        <v>39</v>
      </c>
      <c r="I888" t="s">
        <v>82</v>
      </c>
      <c r="J888" t="s">
        <v>53</v>
      </c>
      <c r="K888" t="s">
        <v>128</v>
      </c>
      <c r="L888" t="s">
        <v>59</v>
      </c>
      <c r="M888" t="s">
        <v>122</v>
      </c>
      <c r="N888">
        <v>9</v>
      </c>
      <c r="O888" t="s">
        <v>117</v>
      </c>
      <c r="P888" s="11">
        <v>5900</v>
      </c>
      <c r="Q888" t="s">
        <v>371</v>
      </c>
      <c r="R888" s="11">
        <f t="shared" si="26"/>
        <v>5900</v>
      </c>
      <c r="S888" t="str">
        <f t="shared" si="27"/>
        <v>One-Time</v>
      </c>
    </row>
    <row r="889" spans="1:19" ht="15" customHeight="1" x14ac:dyDescent="0.3">
      <c r="A889">
        <v>888</v>
      </c>
      <c r="B889" t="s">
        <v>1299</v>
      </c>
      <c r="C889">
        <v>6827896</v>
      </c>
      <c r="D889" t="s">
        <v>114</v>
      </c>
      <c r="E889">
        <v>30</v>
      </c>
      <c r="F889" t="s">
        <v>76</v>
      </c>
      <c r="G889" s="10">
        <v>45382</v>
      </c>
      <c r="H889" t="s">
        <v>39</v>
      </c>
      <c r="I889" t="s">
        <v>82</v>
      </c>
      <c r="J889" t="s">
        <v>53</v>
      </c>
      <c r="K889" t="s">
        <v>128</v>
      </c>
      <c r="L889" t="s">
        <v>59</v>
      </c>
      <c r="M889" t="s">
        <v>122</v>
      </c>
      <c r="N889">
        <v>7</v>
      </c>
      <c r="O889" t="s">
        <v>117</v>
      </c>
      <c r="P889" s="11">
        <v>5900</v>
      </c>
      <c r="Q889" t="s">
        <v>446</v>
      </c>
      <c r="R889" s="11">
        <f t="shared" si="26"/>
        <v>5900</v>
      </c>
      <c r="S889" t="str">
        <f t="shared" si="27"/>
        <v>One-Time</v>
      </c>
    </row>
    <row r="890" spans="1:19" ht="15" customHeight="1" x14ac:dyDescent="0.3">
      <c r="A890">
        <v>889</v>
      </c>
      <c r="B890" t="s">
        <v>1300</v>
      </c>
      <c r="C890">
        <v>6531661</v>
      </c>
      <c r="D890" t="s">
        <v>114</v>
      </c>
      <c r="E890">
        <v>58</v>
      </c>
      <c r="F890" t="s">
        <v>77</v>
      </c>
      <c r="G890" s="10">
        <v>45383</v>
      </c>
      <c r="H890" t="s">
        <v>40</v>
      </c>
      <c r="I890" t="s">
        <v>85</v>
      </c>
      <c r="J890" t="s">
        <v>53</v>
      </c>
      <c r="K890" t="s">
        <v>128</v>
      </c>
      <c r="L890" t="s">
        <v>59</v>
      </c>
      <c r="M890" t="s">
        <v>122</v>
      </c>
      <c r="N890">
        <v>2</v>
      </c>
      <c r="O890" t="s">
        <v>117</v>
      </c>
      <c r="P890" s="11">
        <v>5900</v>
      </c>
      <c r="Q890" t="s">
        <v>64</v>
      </c>
      <c r="R890" s="11">
        <f t="shared" si="26"/>
        <v>0</v>
      </c>
      <c r="S890" t="str">
        <f t="shared" si="27"/>
        <v>One-Time</v>
      </c>
    </row>
    <row r="891" spans="1:19" ht="15" customHeight="1" x14ac:dyDescent="0.3">
      <c r="A891">
        <v>890</v>
      </c>
      <c r="B891" t="s">
        <v>1301</v>
      </c>
      <c r="C891">
        <v>7474272</v>
      </c>
      <c r="D891" t="s">
        <v>114</v>
      </c>
      <c r="E891">
        <v>44</v>
      </c>
      <c r="F891" t="s">
        <v>76</v>
      </c>
      <c r="G891" s="10">
        <v>45384</v>
      </c>
      <c r="H891" t="s">
        <v>40</v>
      </c>
      <c r="I891" t="s">
        <v>82</v>
      </c>
      <c r="J891" t="s">
        <v>53</v>
      </c>
      <c r="K891" t="s">
        <v>128</v>
      </c>
      <c r="L891" t="s">
        <v>59</v>
      </c>
      <c r="M891" t="s">
        <v>122</v>
      </c>
      <c r="N891">
        <v>8</v>
      </c>
      <c r="O891" t="s">
        <v>117</v>
      </c>
      <c r="P891" s="11">
        <v>5900</v>
      </c>
      <c r="Q891" t="s">
        <v>67</v>
      </c>
      <c r="R891" s="11">
        <f t="shared" si="26"/>
        <v>5900</v>
      </c>
      <c r="S891" t="str">
        <f t="shared" si="27"/>
        <v>One-Time</v>
      </c>
    </row>
    <row r="892" spans="1:19" ht="15" customHeight="1" x14ac:dyDescent="0.3">
      <c r="A892">
        <v>891</v>
      </c>
      <c r="B892" t="s">
        <v>1302</v>
      </c>
      <c r="C892">
        <v>155203</v>
      </c>
      <c r="D892" t="s">
        <v>114</v>
      </c>
      <c r="E892">
        <v>27</v>
      </c>
      <c r="F892" t="s">
        <v>75</v>
      </c>
      <c r="G892" s="10">
        <v>45385</v>
      </c>
      <c r="H892" t="s">
        <v>40</v>
      </c>
      <c r="I892" t="s">
        <v>84</v>
      </c>
      <c r="J892" t="s">
        <v>53</v>
      </c>
      <c r="K892" t="s">
        <v>128</v>
      </c>
      <c r="L892" t="s">
        <v>59</v>
      </c>
      <c r="M892" t="s">
        <v>122</v>
      </c>
      <c r="N892">
        <v>4</v>
      </c>
      <c r="O892" t="s">
        <v>117</v>
      </c>
      <c r="P892" s="11">
        <v>5900</v>
      </c>
      <c r="Q892" t="s">
        <v>69</v>
      </c>
      <c r="R892" s="11">
        <f t="shared" si="26"/>
        <v>0</v>
      </c>
      <c r="S892" t="str">
        <f t="shared" si="27"/>
        <v>One-Time</v>
      </c>
    </row>
    <row r="893" spans="1:19" ht="15" customHeight="1" x14ac:dyDescent="0.3">
      <c r="A893">
        <v>892</v>
      </c>
      <c r="B893" t="s">
        <v>1303</v>
      </c>
      <c r="C893">
        <v>6856164</v>
      </c>
      <c r="D893" t="s">
        <v>114</v>
      </c>
      <c r="E893">
        <v>66</v>
      </c>
      <c r="F893" t="s">
        <v>77</v>
      </c>
      <c r="G893" s="10">
        <v>45386</v>
      </c>
      <c r="H893" t="s">
        <v>40</v>
      </c>
      <c r="I893" t="s">
        <v>82</v>
      </c>
      <c r="J893" t="s">
        <v>53</v>
      </c>
      <c r="K893" t="s">
        <v>128</v>
      </c>
      <c r="L893" t="s">
        <v>59</v>
      </c>
      <c r="M893" t="s">
        <v>122</v>
      </c>
      <c r="N893">
        <v>5</v>
      </c>
      <c r="O893" t="s">
        <v>117</v>
      </c>
      <c r="P893" s="11">
        <v>5900</v>
      </c>
      <c r="Q893" t="s">
        <v>371</v>
      </c>
      <c r="R893" s="11">
        <f t="shared" si="26"/>
        <v>5900</v>
      </c>
      <c r="S893" t="str">
        <f t="shared" si="27"/>
        <v>One-Time</v>
      </c>
    </row>
    <row r="894" spans="1:19" ht="15" customHeight="1" x14ac:dyDescent="0.3">
      <c r="A894">
        <v>893</v>
      </c>
      <c r="B894" t="s">
        <v>1304</v>
      </c>
      <c r="C894">
        <v>663538</v>
      </c>
      <c r="D894" t="s">
        <v>114</v>
      </c>
      <c r="E894">
        <v>49</v>
      </c>
      <c r="F894" t="s">
        <v>76</v>
      </c>
      <c r="G894" s="10">
        <v>45387</v>
      </c>
      <c r="H894" t="s">
        <v>40</v>
      </c>
      <c r="I894" t="s">
        <v>82</v>
      </c>
      <c r="J894" t="s">
        <v>53</v>
      </c>
      <c r="K894" t="s">
        <v>128</v>
      </c>
      <c r="L894" t="s">
        <v>59</v>
      </c>
      <c r="M894" t="s">
        <v>122</v>
      </c>
      <c r="N894">
        <v>6</v>
      </c>
      <c r="O894" t="s">
        <v>117</v>
      </c>
      <c r="P894" s="11">
        <v>5900</v>
      </c>
      <c r="Q894" t="s">
        <v>313</v>
      </c>
      <c r="R894" s="11">
        <f t="shared" si="26"/>
        <v>5900</v>
      </c>
      <c r="S894" t="str">
        <f t="shared" si="27"/>
        <v>One-Time</v>
      </c>
    </row>
    <row r="895" spans="1:19" ht="15" customHeight="1" x14ac:dyDescent="0.3">
      <c r="A895">
        <v>894</v>
      </c>
      <c r="B895" t="s">
        <v>1305</v>
      </c>
      <c r="C895">
        <v>6572067</v>
      </c>
      <c r="D895" t="s">
        <v>114</v>
      </c>
      <c r="E895">
        <v>30</v>
      </c>
      <c r="F895" t="s">
        <v>76</v>
      </c>
      <c r="G895" s="10">
        <v>45388</v>
      </c>
      <c r="H895" t="s">
        <v>40</v>
      </c>
      <c r="I895" t="s">
        <v>82</v>
      </c>
      <c r="J895" t="s">
        <v>53</v>
      </c>
      <c r="K895" t="s">
        <v>128</v>
      </c>
      <c r="L895" t="s">
        <v>59</v>
      </c>
      <c r="M895" t="s">
        <v>122</v>
      </c>
      <c r="N895">
        <v>31</v>
      </c>
      <c r="O895" t="s">
        <v>117</v>
      </c>
      <c r="P895" s="11">
        <v>5900</v>
      </c>
      <c r="Q895" t="s">
        <v>1306</v>
      </c>
      <c r="R895" s="11">
        <f t="shared" si="26"/>
        <v>5900</v>
      </c>
      <c r="S895" t="str">
        <f t="shared" si="27"/>
        <v>One-Time</v>
      </c>
    </row>
    <row r="896" spans="1:19" ht="15" customHeight="1" x14ac:dyDescent="0.3">
      <c r="A896">
        <v>895</v>
      </c>
      <c r="B896" t="s">
        <v>1307</v>
      </c>
      <c r="C896">
        <v>8676194</v>
      </c>
      <c r="D896" t="s">
        <v>114</v>
      </c>
      <c r="E896">
        <v>35</v>
      </c>
      <c r="F896" t="s">
        <v>76</v>
      </c>
      <c r="G896" s="10">
        <v>45389</v>
      </c>
      <c r="H896" t="s">
        <v>40</v>
      </c>
      <c r="I896" t="s">
        <v>82</v>
      </c>
      <c r="J896" t="s">
        <v>53</v>
      </c>
      <c r="K896" t="s">
        <v>128</v>
      </c>
      <c r="L896" t="s">
        <v>58</v>
      </c>
      <c r="M896" t="s">
        <v>122</v>
      </c>
      <c r="N896">
        <v>2</v>
      </c>
      <c r="O896" t="s">
        <v>117</v>
      </c>
      <c r="P896" s="11">
        <v>5900</v>
      </c>
      <c r="Q896" t="s">
        <v>458</v>
      </c>
      <c r="R896" s="11">
        <f t="shared" si="26"/>
        <v>5900</v>
      </c>
      <c r="S896" t="str">
        <f t="shared" si="27"/>
        <v>One-Time</v>
      </c>
    </row>
    <row r="897" spans="1:19" ht="15" customHeight="1" x14ac:dyDescent="0.3">
      <c r="A897">
        <v>896</v>
      </c>
      <c r="B897" t="s">
        <v>1308</v>
      </c>
      <c r="C897">
        <v>6006451</v>
      </c>
      <c r="D897" t="s">
        <v>114</v>
      </c>
      <c r="E897">
        <v>38</v>
      </c>
      <c r="F897" t="s">
        <v>76</v>
      </c>
      <c r="G897" s="10">
        <v>45390</v>
      </c>
      <c r="H897" t="s">
        <v>40</v>
      </c>
      <c r="I897" t="s">
        <v>82</v>
      </c>
      <c r="J897" t="s">
        <v>53</v>
      </c>
      <c r="K897" t="s">
        <v>128</v>
      </c>
      <c r="L897" t="s">
        <v>58</v>
      </c>
      <c r="M897" t="s">
        <v>122</v>
      </c>
      <c r="N897">
        <v>5</v>
      </c>
      <c r="O897" t="s">
        <v>117</v>
      </c>
      <c r="P897" s="11">
        <v>5900</v>
      </c>
      <c r="Q897" t="s">
        <v>637</v>
      </c>
      <c r="R897" s="11">
        <f t="shared" si="26"/>
        <v>5900</v>
      </c>
      <c r="S897" t="str">
        <f t="shared" si="27"/>
        <v>One-Time</v>
      </c>
    </row>
    <row r="898" spans="1:19" ht="15" customHeight="1" x14ac:dyDescent="0.3">
      <c r="A898">
        <v>897</v>
      </c>
      <c r="B898" t="s">
        <v>1309</v>
      </c>
      <c r="C898">
        <v>1554862</v>
      </c>
      <c r="D898" t="s">
        <v>114</v>
      </c>
      <c r="E898">
        <v>48</v>
      </c>
      <c r="F898" t="s">
        <v>76</v>
      </c>
      <c r="G898" s="10">
        <v>45391</v>
      </c>
      <c r="H898" t="s">
        <v>40</v>
      </c>
      <c r="I898" t="s">
        <v>82</v>
      </c>
      <c r="J898" t="s">
        <v>53</v>
      </c>
      <c r="K898" t="s">
        <v>128</v>
      </c>
      <c r="L898" t="s">
        <v>58</v>
      </c>
      <c r="M898" t="s">
        <v>122</v>
      </c>
      <c r="N898">
        <v>5</v>
      </c>
      <c r="O898" t="s">
        <v>117</v>
      </c>
      <c r="P898" s="11">
        <v>5900</v>
      </c>
      <c r="Q898" t="s">
        <v>1310</v>
      </c>
      <c r="R898" s="11">
        <f t="shared" ref="R898:R961" si="28">IF(I898="Delivered",P898,0)</f>
        <v>5900</v>
      </c>
      <c r="S898" t="str">
        <f t="shared" ref="S898:S961" si="29">IF(COUNTIF($C$2:$C$1501,C898)&gt;1,"Repeat","One-Time")</f>
        <v>One-Time</v>
      </c>
    </row>
    <row r="899" spans="1:19" ht="15" customHeight="1" x14ac:dyDescent="0.3">
      <c r="A899">
        <v>898</v>
      </c>
      <c r="B899" t="s">
        <v>1311</v>
      </c>
      <c r="C899">
        <v>3806917</v>
      </c>
      <c r="D899" t="s">
        <v>114</v>
      </c>
      <c r="E899">
        <v>23</v>
      </c>
      <c r="F899" t="s">
        <v>75</v>
      </c>
      <c r="G899" s="10">
        <v>45392</v>
      </c>
      <c r="H899" t="s">
        <v>40</v>
      </c>
      <c r="I899" t="s">
        <v>82</v>
      </c>
      <c r="J899" t="s">
        <v>53</v>
      </c>
      <c r="K899" t="s">
        <v>128</v>
      </c>
      <c r="L899" t="s">
        <v>58</v>
      </c>
      <c r="M899" t="s">
        <v>122</v>
      </c>
      <c r="N899">
        <v>8</v>
      </c>
      <c r="O899" t="s">
        <v>117</v>
      </c>
      <c r="P899" s="11">
        <v>5900</v>
      </c>
      <c r="Q899" t="s">
        <v>64</v>
      </c>
      <c r="R899" s="11">
        <f t="shared" si="28"/>
        <v>5900</v>
      </c>
      <c r="S899" t="str">
        <f t="shared" si="29"/>
        <v>One-Time</v>
      </c>
    </row>
    <row r="900" spans="1:19" ht="15" customHeight="1" x14ac:dyDescent="0.3">
      <c r="A900">
        <v>899</v>
      </c>
      <c r="B900" t="s">
        <v>1312</v>
      </c>
      <c r="C900">
        <v>3789491</v>
      </c>
      <c r="D900" t="s">
        <v>114</v>
      </c>
      <c r="E900">
        <v>46</v>
      </c>
      <c r="F900" t="s">
        <v>76</v>
      </c>
      <c r="G900" s="10">
        <v>45393</v>
      </c>
      <c r="H900" t="s">
        <v>40</v>
      </c>
      <c r="I900" t="s">
        <v>82</v>
      </c>
      <c r="J900" t="s">
        <v>53</v>
      </c>
      <c r="K900" t="s">
        <v>128</v>
      </c>
      <c r="L900" t="s">
        <v>58</v>
      </c>
      <c r="M900" t="s">
        <v>122</v>
      </c>
      <c r="N900">
        <v>9</v>
      </c>
      <c r="O900" t="s">
        <v>117</v>
      </c>
      <c r="P900" s="11">
        <v>5900</v>
      </c>
      <c r="Q900" t="s">
        <v>1313</v>
      </c>
      <c r="R900" s="11">
        <f t="shared" si="28"/>
        <v>5900</v>
      </c>
      <c r="S900" t="str">
        <f t="shared" si="29"/>
        <v>One-Time</v>
      </c>
    </row>
    <row r="901" spans="1:19" ht="15" customHeight="1" x14ac:dyDescent="0.3">
      <c r="A901">
        <v>900</v>
      </c>
      <c r="B901" t="s">
        <v>1314</v>
      </c>
      <c r="C901">
        <v>453363</v>
      </c>
      <c r="D901" t="s">
        <v>114</v>
      </c>
      <c r="E901">
        <v>29</v>
      </c>
      <c r="F901" t="s">
        <v>75</v>
      </c>
      <c r="G901" s="10">
        <v>45394</v>
      </c>
      <c r="H901" t="s">
        <v>40</v>
      </c>
      <c r="I901" t="s">
        <v>82</v>
      </c>
      <c r="J901" t="s">
        <v>53</v>
      </c>
      <c r="K901" t="s">
        <v>128</v>
      </c>
      <c r="L901" t="s">
        <v>58</v>
      </c>
      <c r="M901" t="s">
        <v>122</v>
      </c>
      <c r="N901">
        <v>4</v>
      </c>
      <c r="O901" t="s">
        <v>117</v>
      </c>
      <c r="P901" s="11">
        <v>5900</v>
      </c>
      <c r="Q901" t="s">
        <v>66</v>
      </c>
      <c r="R901" s="11">
        <f t="shared" si="28"/>
        <v>5900</v>
      </c>
      <c r="S901" t="str">
        <f t="shared" si="29"/>
        <v>One-Time</v>
      </c>
    </row>
    <row r="902" spans="1:19" ht="15" customHeight="1" x14ac:dyDescent="0.3">
      <c r="A902">
        <v>901</v>
      </c>
      <c r="B902" t="s">
        <v>1315</v>
      </c>
      <c r="C902">
        <v>5098546</v>
      </c>
      <c r="D902" t="s">
        <v>114</v>
      </c>
      <c r="E902">
        <v>40</v>
      </c>
      <c r="F902" t="s">
        <v>76</v>
      </c>
      <c r="G902" s="10">
        <v>45395</v>
      </c>
      <c r="H902" t="s">
        <v>40</v>
      </c>
      <c r="I902" t="s">
        <v>82</v>
      </c>
      <c r="J902" t="s">
        <v>53</v>
      </c>
      <c r="K902" t="s">
        <v>128</v>
      </c>
      <c r="L902" t="s">
        <v>58</v>
      </c>
      <c r="M902" t="s">
        <v>122</v>
      </c>
      <c r="N902">
        <v>7</v>
      </c>
      <c r="O902" t="s">
        <v>117</v>
      </c>
      <c r="P902" s="11">
        <v>5900</v>
      </c>
      <c r="Q902" t="s">
        <v>62</v>
      </c>
      <c r="R902" s="11">
        <f t="shared" si="28"/>
        <v>5900</v>
      </c>
      <c r="S902" t="str">
        <f t="shared" si="29"/>
        <v>One-Time</v>
      </c>
    </row>
    <row r="903" spans="1:19" ht="15" customHeight="1" x14ac:dyDescent="0.3">
      <c r="A903">
        <v>902</v>
      </c>
      <c r="B903" t="s">
        <v>1316</v>
      </c>
      <c r="C903">
        <v>5300804</v>
      </c>
      <c r="D903" t="s">
        <v>114</v>
      </c>
      <c r="E903">
        <v>46</v>
      </c>
      <c r="F903" t="s">
        <v>76</v>
      </c>
      <c r="G903" s="10">
        <v>45396</v>
      </c>
      <c r="H903" t="s">
        <v>40</v>
      </c>
      <c r="I903" t="s">
        <v>82</v>
      </c>
      <c r="J903" t="s">
        <v>53</v>
      </c>
      <c r="K903" t="s">
        <v>128</v>
      </c>
      <c r="L903" t="s">
        <v>58</v>
      </c>
      <c r="M903" t="s">
        <v>122</v>
      </c>
      <c r="N903">
        <v>8</v>
      </c>
      <c r="O903" t="s">
        <v>117</v>
      </c>
      <c r="P903" s="11">
        <v>5900</v>
      </c>
      <c r="Q903" t="s">
        <v>307</v>
      </c>
      <c r="R903" s="11">
        <f t="shared" si="28"/>
        <v>5900</v>
      </c>
      <c r="S903" t="str">
        <f t="shared" si="29"/>
        <v>One-Time</v>
      </c>
    </row>
    <row r="904" spans="1:19" ht="15" customHeight="1" x14ac:dyDescent="0.3">
      <c r="A904">
        <v>903</v>
      </c>
      <c r="B904" t="s">
        <v>1317</v>
      </c>
      <c r="C904">
        <v>3662956</v>
      </c>
      <c r="D904" t="s">
        <v>114</v>
      </c>
      <c r="E904">
        <v>47</v>
      </c>
      <c r="F904" t="s">
        <v>76</v>
      </c>
      <c r="G904" s="10">
        <v>45397</v>
      </c>
      <c r="H904" t="s">
        <v>40</v>
      </c>
      <c r="I904" t="s">
        <v>82</v>
      </c>
      <c r="J904" t="s">
        <v>53</v>
      </c>
      <c r="K904" t="s">
        <v>128</v>
      </c>
      <c r="L904" t="s">
        <v>58</v>
      </c>
      <c r="M904" t="s">
        <v>122</v>
      </c>
      <c r="N904">
        <v>32</v>
      </c>
      <c r="O904" t="s">
        <v>117</v>
      </c>
      <c r="P904" s="11">
        <v>5900</v>
      </c>
      <c r="Q904" t="s">
        <v>1318</v>
      </c>
      <c r="R904" s="11">
        <f t="shared" si="28"/>
        <v>5900</v>
      </c>
      <c r="S904" t="str">
        <f t="shared" si="29"/>
        <v>One-Time</v>
      </c>
    </row>
    <row r="905" spans="1:19" ht="15" customHeight="1" x14ac:dyDescent="0.3">
      <c r="A905">
        <v>904</v>
      </c>
      <c r="B905" t="s">
        <v>1319</v>
      </c>
      <c r="C905">
        <v>531561</v>
      </c>
      <c r="D905" t="s">
        <v>114</v>
      </c>
      <c r="E905">
        <v>20</v>
      </c>
      <c r="F905" t="s">
        <v>75</v>
      </c>
      <c r="G905" s="10">
        <v>45398</v>
      </c>
      <c r="H905" t="s">
        <v>40</v>
      </c>
      <c r="I905" t="s">
        <v>82</v>
      </c>
      <c r="J905" t="s">
        <v>53</v>
      </c>
      <c r="K905" t="s">
        <v>128</v>
      </c>
      <c r="L905" t="s">
        <v>58</v>
      </c>
      <c r="M905" t="s">
        <v>122</v>
      </c>
      <c r="N905">
        <v>3</v>
      </c>
      <c r="O905" t="s">
        <v>117</v>
      </c>
      <c r="P905" s="11">
        <v>5900</v>
      </c>
      <c r="Q905" t="s">
        <v>1320</v>
      </c>
      <c r="R905" s="11">
        <f t="shared" si="28"/>
        <v>5900</v>
      </c>
      <c r="S905" t="str">
        <f t="shared" si="29"/>
        <v>One-Time</v>
      </c>
    </row>
    <row r="906" spans="1:19" ht="15" customHeight="1" x14ac:dyDescent="0.3">
      <c r="A906">
        <v>905</v>
      </c>
      <c r="B906" t="s">
        <v>1321</v>
      </c>
      <c r="C906">
        <v>9833713</v>
      </c>
      <c r="D906" t="s">
        <v>114</v>
      </c>
      <c r="E906">
        <v>22</v>
      </c>
      <c r="F906" t="s">
        <v>75</v>
      </c>
      <c r="G906" s="10">
        <v>45399</v>
      </c>
      <c r="H906" t="s">
        <v>40</v>
      </c>
      <c r="I906" t="s">
        <v>82</v>
      </c>
      <c r="J906" t="s">
        <v>53</v>
      </c>
      <c r="K906" t="s">
        <v>128</v>
      </c>
      <c r="L906" t="s">
        <v>58</v>
      </c>
      <c r="M906" t="s">
        <v>122</v>
      </c>
      <c r="N906">
        <v>48</v>
      </c>
      <c r="O906" t="s">
        <v>117</v>
      </c>
      <c r="P906" s="11">
        <v>5900</v>
      </c>
      <c r="Q906" t="s">
        <v>304</v>
      </c>
      <c r="R906" s="11">
        <f t="shared" si="28"/>
        <v>5900</v>
      </c>
      <c r="S906" t="str">
        <f t="shared" si="29"/>
        <v>One-Time</v>
      </c>
    </row>
    <row r="907" spans="1:19" ht="15" customHeight="1" x14ac:dyDescent="0.3">
      <c r="A907">
        <v>906</v>
      </c>
      <c r="B907" t="s">
        <v>1322</v>
      </c>
      <c r="C907">
        <v>1294687</v>
      </c>
      <c r="D907" t="s">
        <v>114</v>
      </c>
      <c r="E907">
        <v>27</v>
      </c>
      <c r="F907" t="s">
        <v>75</v>
      </c>
      <c r="G907" s="10">
        <v>45400</v>
      </c>
      <c r="H907" t="s">
        <v>40</v>
      </c>
      <c r="I907" t="s">
        <v>82</v>
      </c>
      <c r="J907" t="s">
        <v>53</v>
      </c>
      <c r="K907" t="s">
        <v>128</v>
      </c>
      <c r="L907" t="s">
        <v>58</v>
      </c>
      <c r="M907" t="s">
        <v>122</v>
      </c>
      <c r="N907">
        <v>5</v>
      </c>
      <c r="O907" t="s">
        <v>117</v>
      </c>
      <c r="P907" s="11">
        <v>5900</v>
      </c>
      <c r="Q907" t="s">
        <v>66</v>
      </c>
      <c r="R907" s="11">
        <f t="shared" si="28"/>
        <v>5900</v>
      </c>
      <c r="S907" t="str">
        <f t="shared" si="29"/>
        <v>One-Time</v>
      </c>
    </row>
    <row r="908" spans="1:19" ht="15" customHeight="1" x14ac:dyDescent="0.3">
      <c r="A908">
        <v>907</v>
      </c>
      <c r="B908" t="s">
        <v>1323</v>
      </c>
      <c r="C908">
        <v>6527765</v>
      </c>
      <c r="D908" t="s">
        <v>114</v>
      </c>
      <c r="E908">
        <v>69</v>
      </c>
      <c r="F908" t="s">
        <v>77</v>
      </c>
      <c r="G908" s="10">
        <v>45401</v>
      </c>
      <c r="H908" t="s">
        <v>40</v>
      </c>
      <c r="I908" t="s">
        <v>82</v>
      </c>
      <c r="J908" t="s">
        <v>53</v>
      </c>
      <c r="K908" t="s">
        <v>128</v>
      </c>
      <c r="L908" t="s">
        <v>58</v>
      </c>
      <c r="M908" t="s">
        <v>122</v>
      </c>
      <c r="N908">
        <v>2</v>
      </c>
      <c r="O908" t="s">
        <v>117</v>
      </c>
      <c r="P908" s="11">
        <v>5900</v>
      </c>
      <c r="Q908" t="s">
        <v>63</v>
      </c>
      <c r="R908" s="11">
        <f t="shared" si="28"/>
        <v>5900</v>
      </c>
      <c r="S908" t="str">
        <f t="shared" si="29"/>
        <v>One-Time</v>
      </c>
    </row>
    <row r="909" spans="1:19" ht="15" customHeight="1" x14ac:dyDescent="0.3">
      <c r="A909">
        <v>908</v>
      </c>
      <c r="B909" t="s">
        <v>1324</v>
      </c>
      <c r="C909">
        <v>1421330</v>
      </c>
      <c r="D909" t="s">
        <v>114</v>
      </c>
      <c r="E909">
        <v>24</v>
      </c>
      <c r="F909" t="s">
        <v>75</v>
      </c>
      <c r="G909" s="10">
        <v>45402</v>
      </c>
      <c r="H909" t="s">
        <v>40</v>
      </c>
      <c r="I909" t="s">
        <v>82</v>
      </c>
      <c r="J909" t="s">
        <v>53</v>
      </c>
      <c r="K909" t="s">
        <v>128</v>
      </c>
      <c r="L909" t="s">
        <v>58</v>
      </c>
      <c r="M909" t="s">
        <v>315</v>
      </c>
      <c r="N909">
        <v>9</v>
      </c>
      <c r="O909" t="s">
        <v>117</v>
      </c>
      <c r="P909" s="11">
        <v>5900</v>
      </c>
      <c r="Q909" t="s">
        <v>749</v>
      </c>
      <c r="R909" s="11">
        <f t="shared" si="28"/>
        <v>5900</v>
      </c>
      <c r="S909" t="str">
        <f t="shared" si="29"/>
        <v>One-Time</v>
      </c>
    </row>
    <row r="910" spans="1:19" ht="15" customHeight="1" x14ac:dyDescent="0.3">
      <c r="A910">
        <v>909</v>
      </c>
      <c r="B910" t="s">
        <v>1325</v>
      </c>
      <c r="C910">
        <v>8545866</v>
      </c>
      <c r="D910" t="s">
        <v>114</v>
      </c>
      <c r="E910">
        <v>25</v>
      </c>
      <c r="F910" t="s">
        <v>75</v>
      </c>
      <c r="G910" s="10">
        <v>45403</v>
      </c>
      <c r="H910" t="s">
        <v>40</v>
      </c>
      <c r="I910" t="s">
        <v>82</v>
      </c>
      <c r="J910" t="s">
        <v>53</v>
      </c>
      <c r="K910" t="s">
        <v>128</v>
      </c>
      <c r="L910" t="s">
        <v>58</v>
      </c>
      <c r="M910" t="s">
        <v>315</v>
      </c>
      <c r="N910">
        <v>7</v>
      </c>
      <c r="O910" t="s">
        <v>117</v>
      </c>
      <c r="P910" s="11">
        <v>5900</v>
      </c>
      <c r="Q910" t="s">
        <v>64</v>
      </c>
      <c r="R910" s="11">
        <f t="shared" si="28"/>
        <v>5900</v>
      </c>
      <c r="S910" t="str">
        <f t="shared" si="29"/>
        <v>One-Time</v>
      </c>
    </row>
    <row r="911" spans="1:19" ht="15" customHeight="1" x14ac:dyDescent="0.3">
      <c r="A911">
        <v>910</v>
      </c>
      <c r="B911" t="s">
        <v>1326</v>
      </c>
      <c r="C911">
        <v>161822</v>
      </c>
      <c r="D911" t="s">
        <v>114</v>
      </c>
      <c r="E911">
        <v>42</v>
      </c>
      <c r="F911" t="s">
        <v>76</v>
      </c>
      <c r="G911" s="10">
        <v>45404</v>
      </c>
      <c r="H911" t="s">
        <v>40</v>
      </c>
      <c r="I911" t="s">
        <v>82</v>
      </c>
      <c r="J911" t="s">
        <v>53</v>
      </c>
      <c r="K911" t="s">
        <v>115</v>
      </c>
      <c r="L911" t="s">
        <v>58</v>
      </c>
      <c r="M911" t="s">
        <v>315</v>
      </c>
      <c r="N911">
        <v>2</v>
      </c>
      <c r="O911" t="s">
        <v>117</v>
      </c>
      <c r="P911" s="11">
        <v>5900</v>
      </c>
      <c r="Q911" t="s">
        <v>160</v>
      </c>
      <c r="R911" s="11">
        <f t="shared" si="28"/>
        <v>5900</v>
      </c>
      <c r="S911" t="str">
        <f t="shared" si="29"/>
        <v>One-Time</v>
      </c>
    </row>
    <row r="912" spans="1:19" ht="15" customHeight="1" x14ac:dyDescent="0.3">
      <c r="A912">
        <v>911</v>
      </c>
      <c r="B912" t="s">
        <v>1327</v>
      </c>
      <c r="C912">
        <v>8352525</v>
      </c>
      <c r="D912" t="s">
        <v>114</v>
      </c>
      <c r="E912">
        <v>62</v>
      </c>
      <c r="F912" t="s">
        <v>77</v>
      </c>
      <c r="G912" s="10">
        <v>45405</v>
      </c>
      <c r="H912" t="s">
        <v>40</v>
      </c>
      <c r="I912" t="s">
        <v>82</v>
      </c>
      <c r="J912" t="s">
        <v>53</v>
      </c>
      <c r="K912" t="s">
        <v>115</v>
      </c>
      <c r="L912" t="s">
        <v>58</v>
      </c>
      <c r="M912" t="s">
        <v>315</v>
      </c>
      <c r="N912">
        <v>8</v>
      </c>
      <c r="O912" t="s">
        <v>117</v>
      </c>
      <c r="P912" s="11">
        <v>5900</v>
      </c>
      <c r="Q912" t="s">
        <v>64</v>
      </c>
      <c r="R912" s="11">
        <f t="shared" si="28"/>
        <v>5900</v>
      </c>
      <c r="S912" t="str">
        <f t="shared" si="29"/>
        <v>One-Time</v>
      </c>
    </row>
    <row r="913" spans="1:19" ht="15" customHeight="1" x14ac:dyDescent="0.3">
      <c r="A913">
        <v>912</v>
      </c>
      <c r="B913" t="s">
        <v>1328</v>
      </c>
      <c r="C913">
        <v>9889721</v>
      </c>
      <c r="D913" t="s">
        <v>114</v>
      </c>
      <c r="E913">
        <v>40</v>
      </c>
      <c r="F913" t="s">
        <v>76</v>
      </c>
      <c r="G913" s="10">
        <v>45406</v>
      </c>
      <c r="H913" t="s">
        <v>40</v>
      </c>
      <c r="I913" t="s">
        <v>84</v>
      </c>
      <c r="J913" t="s">
        <v>53</v>
      </c>
      <c r="K913" t="s">
        <v>115</v>
      </c>
      <c r="L913" t="s">
        <v>58</v>
      </c>
      <c r="M913" t="s">
        <v>315</v>
      </c>
      <c r="N913">
        <v>4</v>
      </c>
      <c r="O913" t="s">
        <v>117</v>
      </c>
      <c r="P913" s="11">
        <v>5900</v>
      </c>
      <c r="Q913" t="s">
        <v>441</v>
      </c>
      <c r="R913" s="11">
        <f t="shared" si="28"/>
        <v>0</v>
      </c>
      <c r="S913" t="str">
        <f t="shared" si="29"/>
        <v>Repeat</v>
      </c>
    </row>
    <row r="914" spans="1:19" ht="15" customHeight="1" x14ac:dyDescent="0.3">
      <c r="A914">
        <v>913</v>
      </c>
      <c r="B914" t="s">
        <v>1328</v>
      </c>
      <c r="C914">
        <v>9889721</v>
      </c>
      <c r="D914" t="s">
        <v>114</v>
      </c>
      <c r="E914">
        <v>26</v>
      </c>
      <c r="F914" t="s">
        <v>75</v>
      </c>
      <c r="G914" s="10">
        <v>45407</v>
      </c>
      <c r="H914" t="s">
        <v>40</v>
      </c>
      <c r="I914" t="s">
        <v>82</v>
      </c>
      <c r="J914" t="s">
        <v>53</v>
      </c>
      <c r="K914" t="s">
        <v>115</v>
      </c>
      <c r="L914" t="s">
        <v>58</v>
      </c>
      <c r="M914" t="s">
        <v>315</v>
      </c>
      <c r="N914">
        <v>5</v>
      </c>
      <c r="O914" t="s">
        <v>117</v>
      </c>
      <c r="P914" s="11">
        <v>5900</v>
      </c>
      <c r="Q914" t="s">
        <v>1329</v>
      </c>
      <c r="R914" s="11">
        <f t="shared" si="28"/>
        <v>5900</v>
      </c>
      <c r="S914" t="str">
        <f t="shared" si="29"/>
        <v>Repeat</v>
      </c>
    </row>
    <row r="915" spans="1:19" ht="15" customHeight="1" x14ac:dyDescent="0.3">
      <c r="A915">
        <v>914</v>
      </c>
      <c r="B915" t="s">
        <v>1330</v>
      </c>
      <c r="C915">
        <v>2928429</v>
      </c>
      <c r="D915" t="s">
        <v>114</v>
      </c>
      <c r="E915">
        <v>33</v>
      </c>
      <c r="F915" t="s">
        <v>76</v>
      </c>
      <c r="G915" s="10">
        <v>45408</v>
      </c>
      <c r="H915" t="s">
        <v>40</v>
      </c>
      <c r="I915" t="s">
        <v>82</v>
      </c>
      <c r="J915" t="s">
        <v>53</v>
      </c>
      <c r="K915" t="s">
        <v>115</v>
      </c>
      <c r="L915" t="s">
        <v>58</v>
      </c>
      <c r="M915" t="s">
        <v>315</v>
      </c>
      <c r="N915">
        <v>6</v>
      </c>
      <c r="O915" t="s">
        <v>117</v>
      </c>
      <c r="P915" s="11">
        <v>5900</v>
      </c>
      <c r="Q915" t="s">
        <v>63</v>
      </c>
      <c r="R915" s="11">
        <f t="shared" si="28"/>
        <v>5900</v>
      </c>
      <c r="S915" t="str">
        <f t="shared" si="29"/>
        <v>One-Time</v>
      </c>
    </row>
    <row r="916" spans="1:19" ht="15" customHeight="1" x14ac:dyDescent="0.3">
      <c r="A916">
        <v>915</v>
      </c>
      <c r="B916" t="s">
        <v>1331</v>
      </c>
      <c r="C916">
        <v>4094878</v>
      </c>
      <c r="D916" t="s">
        <v>114</v>
      </c>
      <c r="E916">
        <v>22</v>
      </c>
      <c r="F916" t="s">
        <v>75</v>
      </c>
      <c r="G916" s="10">
        <v>45409</v>
      </c>
      <c r="H916" t="s">
        <v>40</v>
      </c>
      <c r="I916" t="s">
        <v>82</v>
      </c>
      <c r="J916" t="s">
        <v>53</v>
      </c>
      <c r="K916" t="s">
        <v>187</v>
      </c>
      <c r="L916" t="s">
        <v>58</v>
      </c>
      <c r="M916" t="s">
        <v>315</v>
      </c>
      <c r="N916">
        <v>31</v>
      </c>
      <c r="O916" t="s">
        <v>117</v>
      </c>
      <c r="P916" s="11">
        <v>5900</v>
      </c>
      <c r="Q916" t="s">
        <v>118</v>
      </c>
      <c r="R916" s="11">
        <f t="shared" si="28"/>
        <v>5900</v>
      </c>
      <c r="S916" t="str">
        <f t="shared" si="29"/>
        <v>One-Time</v>
      </c>
    </row>
    <row r="917" spans="1:19" ht="15" customHeight="1" x14ac:dyDescent="0.3">
      <c r="A917">
        <v>916</v>
      </c>
      <c r="B917" t="s">
        <v>1332</v>
      </c>
      <c r="C917">
        <v>3326468</v>
      </c>
      <c r="D917" t="s">
        <v>114</v>
      </c>
      <c r="E917">
        <v>42</v>
      </c>
      <c r="F917" t="s">
        <v>76</v>
      </c>
      <c r="G917" s="10">
        <v>45410</v>
      </c>
      <c r="H917" t="s">
        <v>40</v>
      </c>
      <c r="I917" t="s">
        <v>82</v>
      </c>
      <c r="J917" t="s">
        <v>53</v>
      </c>
      <c r="K917" t="s">
        <v>187</v>
      </c>
      <c r="L917" t="s">
        <v>58</v>
      </c>
      <c r="M917" t="s">
        <v>315</v>
      </c>
      <c r="N917">
        <v>2</v>
      </c>
      <c r="O917" t="s">
        <v>117</v>
      </c>
      <c r="P917" s="11">
        <v>5900</v>
      </c>
      <c r="Q917" t="s">
        <v>1333</v>
      </c>
      <c r="R917" s="11">
        <f t="shared" si="28"/>
        <v>5900</v>
      </c>
      <c r="S917" t="str">
        <f t="shared" si="29"/>
        <v>One-Time</v>
      </c>
    </row>
    <row r="918" spans="1:19" ht="15" customHeight="1" x14ac:dyDescent="0.3">
      <c r="A918">
        <v>917</v>
      </c>
      <c r="B918" t="s">
        <v>1334</v>
      </c>
      <c r="C918">
        <v>3577335</v>
      </c>
      <c r="D918" t="s">
        <v>114</v>
      </c>
      <c r="E918">
        <v>18</v>
      </c>
      <c r="F918" t="s">
        <v>75</v>
      </c>
      <c r="G918" s="10">
        <v>45411</v>
      </c>
      <c r="H918" t="s">
        <v>40</v>
      </c>
      <c r="I918" t="s">
        <v>82</v>
      </c>
      <c r="J918" t="s">
        <v>53</v>
      </c>
      <c r="K918" t="s">
        <v>187</v>
      </c>
      <c r="L918" t="s">
        <v>58</v>
      </c>
      <c r="M918" t="s">
        <v>315</v>
      </c>
      <c r="N918">
        <v>5</v>
      </c>
      <c r="O918" t="s">
        <v>117</v>
      </c>
      <c r="P918" s="11">
        <v>5900</v>
      </c>
      <c r="Q918" t="s">
        <v>191</v>
      </c>
      <c r="R918" s="11">
        <f t="shared" si="28"/>
        <v>5900</v>
      </c>
      <c r="S918" t="str">
        <f t="shared" si="29"/>
        <v>One-Time</v>
      </c>
    </row>
    <row r="919" spans="1:19" ht="15" customHeight="1" x14ac:dyDescent="0.3">
      <c r="A919">
        <v>918</v>
      </c>
      <c r="B919" t="s">
        <v>1335</v>
      </c>
      <c r="C919">
        <v>6008360</v>
      </c>
      <c r="D919" t="s">
        <v>114</v>
      </c>
      <c r="E919">
        <v>26</v>
      </c>
      <c r="F919" t="s">
        <v>75</v>
      </c>
      <c r="G919" s="10">
        <v>45412</v>
      </c>
      <c r="H919" t="s">
        <v>40</v>
      </c>
      <c r="I919" t="s">
        <v>82</v>
      </c>
      <c r="J919" t="s">
        <v>53</v>
      </c>
      <c r="K919" t="s">
        <v>187</v>
      </c>
      <c r="L919" t="s">
        <v>58</v>
      </c>
      <c r="M919" t="s">
        <v>315</v>
      </c>
      <c r="N919">
        <v>5</v>
      </c>
      <c r="O919" t="s">
        <v>117</v>
      </c>
      <c r="P919" s="11">
        <v>5900</v>
      </c>
      <c r="Q919" t="s">
        <v>1336</v>
      </c>
      <c r="R919" s="11">
        <f t="shared" si="28"/>
        <v>5900</v>
      </c>
      <c r="S919" t="str">
        <f t="shared" si="29"/>
        <v>One-Time</v>
      </c>
    </row>
    <row r="920" spans="1:19" ht="15" customHeight="1" x14ac:dyDescent="0.3">
      <c r="A920">
        <v>919</v>
      </c>
      <c r="B920" t="s">
        <v>1337</v>
      </c>
      <c r="C920">
        <v>4041108</v>
      </c>
      <c r="D920" t="s">
        <v>114</v>
      </c>
      <c r="E920">
        <v>29</v>
      </c>
      <c r="F920" t="s">
        <v>75</v>
      </c>
      <c r="G920" s="10">
        <v>45413</v>
      </c>
      <c r="H920" t="s">
        <v>41</v>
      </c>
      <c r="I920" t="s">
        <v>82</v>
      </c>
      <c r="J920" t="s">
        <v>53</v>
      </c>
      <c r="K920" t="s">
        <v>187</v>
      </c>
      <c r="L920" t="s">
        <v>58</v>
      </c>
      <c r="M920" t="s">
        <v>315</v>
      </c>
      <c r="N920">
        <v>8</v>
      </c>
      <c r="O920" t="s">
        <v>117</v>
      </c>
      <c r="P920" s="11">
        <v>5900</v>
      </c>
      <c r="Q920" t="s">
        <v>694</v>
      </c>
      <c r="R920" s="11">
        <f t="shared" si="28"/>
        <v>5900</v>
      </c>
      <c r="S920" t="str">
        <f t="shared" si="29"/>
        <v>One-Time</v>
      </c>
    </row>
    <row r="921" spans="1:19" ht="15" customHeight="1" x14ac:dyDescent="0.3">
      <c r="A921">
        <v>920</v>
      </c>
      <c r="B921" t="s">
        <v>1338</v>
      </c>
      <c r="C921">
        <v>412154</v>
      </c>
      <c r="D921" t="s">
        <v>114</v>
      </c>
      <c r="E921">
        <v>18</v>
      </c>
      <c r="F921" t="s">
        <v>75</v>
      </c>
      <c r="G921" s="10">
        <v>45414</v>
      </c>
      <c r="H921" t="s">
        <v>41</v>
      </c>
      <c r="I921" t="s">
        <v>82</v>
      </c>
      <c r="J921" t="s">
        <v>53</v>
      </c>
      <c r="K921" t="s">
        <v>187</v>
      </c>
      <c r="L921" t="s">
        <v>58</v>
      </c>
      <c r="M921" t="s">
        <v>315</v>
      </c>
      <c r="N921">
        <v>9</v>
      </c>
      <c r="O921" t="s">
        <v>117</v>
      </c>
      <c r="P921" s="11">
        <v>5900</v>
      </c>
      <c r="Q921" t="s">
        <v>69</v>
      </c>
      <c r="R921" s="11">
        <f t="shared" si="28"/>
        <v>5900</v>
      </c>
      <c r="S921" t="str">
        <f t="shared" si="29"/>
        <v>One-Time</v>
      </c>
    </row>
    <row r="922" spans="1:19" ht="15" customHeight="1" x14ac:dyDescent="0.3">
      <c r="A922">
        <v>921</v>
      </c>
      <c r="B922" t="s">
        <v>1339</v>
      </c>
      <c r="C922">
        <v>5774555</v>
      </c>
      <c r="D922" t="s">
        <v>114</v>
      </c>
      <c r="E922">
        <v>22</v>
      </c>
      <c r="F922" t="s">
        <v>75</v>
      </c>
      <c r="G922" s="10">
        <v>45415</v>
      </c>
      <c r="H922" t="s">
        <v>41</v>
      </c>
      <c r="I922" t="s">
        <v>82</v>
      </c>
      <c r="J922" t="s">
        <v>53</v>
      </c>
      <c r="K922" t="s">
        <v>187</v>
      </c>
      <c r="L922" t="s">
        <v>58</v>
      </c>
      <c r="M922" t="s">
        <v>315</v>
      </c>
      <c r="N922">
        <v>8</v>
      </c>
      <c r="O922" t="s">
        <v>117</v>
      </c>
      <c r="P922" s="11">
        <v>6600</v>
      </c>
      <c r="Q922" t="s">
        <v>65</v>
      </c>
      <c r="R922" s="11">
        <f t="shared" si="28"/>
        <v>6600</v>
      </c>
      <c r="S922" t="str">
        <f t="shared" si="29"/>
        <v>One-Time</v>
      </c>
    </row>
    <row r="923" spans="1:19" ht="15" customHeight="1" x14ac:dyDescent="0.3">
      <c r="A923">
        <v>922</v>
      </c>
      <c r="B923" t="s">
        <v>1340</v>
      </c>
      <c r="C923">
        <v>9793868</v>
      </c>
      <c r="D923" t="s">
        <v>114</v>
      </c>
      <c r="E923">
        <v>44</v>
      </c>
      <c r="F923" t="s">
        <v>76</v>
      </c>
      <c r="G923" s="10">
        <v>45416</v>
      </c>
      <c r="H923" t="s">
        <v>41</v>
      </c>
      <c r="I923" t="s">
        <v>82</v>
      </c>
      <c r="J923" t="s">
        <v>53</v>
      </c>
      <c r="K923" t="s">
        <v>187</v>
      </c>
      <c r="L923" t="s">
        <v>58</v>
      </c>
      <c r="M923" t="s">
        <v>315</v>
      </c>
      <c r="N923">
        <v>3</v>
      </c>
      <c r="O923" t="s">
        <v>117</v>
      </c>
      <c r="P923" s="11">
        <v>6600</v>
      </c>
      <c r="Q923" t="s">
        <v>1341</v>
      </c>
      <c r="R923" s="11">
        <f t="shared" si="28"/>
        <v>6600</v>
      </c>
      <c r="S923" t="str">
        <f t="shared" si="29"/>
        <v>Repeat</v>
      </c>
    </row>
    <row r="924" spans="1:19" ht="15" customHeight="1" x14ac:dyDescent="0.3">
      <c r="A924">
        <v>923</v>
      </c>
      <c r="B924" t="s">
        <v>1340</v>
      </c>
      <c r="C924">
        <v>9793868</v>
      </c>
      <c r="D924" t="s">
        <v>114</v>
      </c>
      <c r="E924">
        <v>76</v>
      </c>
      <c r="F924" t="s">
        <v>77</v>
      </c>
      <c r="G924" s="10">
        <v>45417</v>
      </c>
      <c r="H924" t="s">
        <v>41</v>
      </c>
      <c r="I924" t="s">
        <v>82</v>
      </c>
      <c r="J924" t="s">
        <v>53</v>
      </c>
      <c r="K924" t="s">
        <v>187</v>
      </c>
      <c r="L924" t="s">
        <v>58</v>
      </c>
      <c r="M924" t="s">
        <v>315</v>
      </c>
      <c r="N924">
        <v>4</v>
      </c>
      <c r="O924" t="s">
        <v>117</v>
      </c>
      <c r="P924" s="11">
        <v>6600</v>
      </c>
      <c r="Q924" t="s">
        <v>65</v>
      </c>
      <c r="R924" s="11">
        <f t="shared" si="28"/>
        <v>6600</v>
      </c>
      <c r="S924" t="str">
        <f t="shared" si="29"/>
        <v>Repeat</v>
      </c>
    </row>
    <row r="925" spans="1:19" ht="15" customHeight="1" x14ac:dyDescent="0.3">
      <c r="A925">
        <v>924</v>
      </c>
      <c r="B925" t="s">
        <v>1342</v>
      </c>
      <c r="C925">
        <v>8340679</v>
      </c>
      <c r="D925" t="s">
        <v>114</v>
      </c>
      <c r="E925">
        <v>40</v>
      </c>
      <c r="F925" t="s">
        <v>76</v>
      </c>
      <c r="G925" s="10">
        <v>45418</v>
      </c>
      <c r="H925" t="s">
        <v>41</v>
      </c>
      <c r="I925" t="s">
        <v>82</v>
      </c>
      <c r="J925" t="s">
        <v>53</v>
      </c>
      <c r="K925" t="s">
        <v>187</v>
      </c>
      <c r="L925" t="s">
        <v>58</v>
      </c>
      <c r="M925" t="s">
        <v>315</v>
      </c>
      <c r="N925">
        <v>4</v>
      </c>
      <c r="O925" t="s">
        <v>117</v>
      </c>
      <c r="P925" s="11">
        <v>6600</v>
      </c>
      <c r="Q925" t="s">
        <v>145</v>
      </c>
      <c r="R925" s="11">
        <f t="shared" si="28"/>
        <v>6600</v>
      </c>
      <c r="S925" t="str">
        <f t="shared" si="29"/>
        <v>One-Time</v>
      </c>
    </row>
    <row r="926" spans="1:19" ht="15" customHeight="1" x14ac:dyDescent="0.3">
      <c r="A926">
        <v>925</v>
      </c>
      <c r="B926" t="s">
        <v>1343</v>
      </c>
      <c r="C926">
        <v>3651024</v>
      </c>
      <c r="D926" t="s">
        <v>114</v>
      </c>
      <c r="E926">
        <v>69</v>
      </c>
      <c r="F926" t="s">
        <v>77</v>
      </c>
      <c r="G926" s="10">
        <v>45419</v>
      </c>
      <c r="H926" t="s">
        <v>41</v>
      </c>
      <c r="I926" t="s">
        <v>82</v>
      </c>
      <c r="J926" t="s">
        <v>53</v>
      </c>
      <c r="K926" t="s">
        <v>187</v>
      </c>
      <c r="L926" t="s">
        <v>58</v>
      </c>
      <c r="M926" t="s">
        <v>315</v>
      </c>
      <c r="N926">
        <v>9</v>
      </c>
      <c r="O926" t="s">
        <v>117</v>
      </c>
      <c r="P926" s="11">
        <v>6600</v>
      </c>
      <c r="Q926" t="s">
        <v>64</v>
      </c>
      <c r="R926" s="11">
        <f t="shared" si="28"/>
        <v>6600</v>
      </c>
      <c r="S926" t="str">
        <f t="shared" si="29"/>
        <v>One-Time</v>
      </c>
    </row>
    <row r="927" spans="1:19" ht="15" customHeight="1" x14ac:dyDescent="0.3">
      <c r="A927">
        <v>926</v>
      </c>
      <c r="B927" t="s">
        <v>1344</v>
      </c>
      <c r="C927">
        <v>4086571</v>
      </c>
      <c r="D927" t="s">
        <v>114</v>
      </c>
      <c r="E927">
        <v>78</v>
      </c>
      <c r="F927" t="s">
        <v>77</v>
      </c>
      <c r="G927" s="10">
        <v>45420</v>
      </c>
      <c r="H927" t="s">
        <v>41</v>
      </c>
      <c r="I927" t="s">
        <v>82</v>
      </c>
      <c r="J927" t="s">
        <v>53</v>
      </c>
      <c r="K927" t="s">
        <v>187</v>
      </c>
      <c r="L927" t="s">
        <v>58</v>
      </c>
      <c r="M927" t="s">
        <v>315</v>
      </c>
      <c r="N927">
        <v>8</v>
      </c>
      <c r="O927" t="s">
        <v>117</v>
      </c>
      <c r="P927" s="11">
        <v>6600</v>
      </c>
      <c r="Q927" t="s">
        <v>63</v>
      </c>
      <c r="R927" s="11">
        <f t="shared" si="28"/>
        <v>6600</v>
      </c>
      <c r="S927" t="str">
        <f t="shared" si="29"/>
        <v>One-Time</v>
      </c>
    </row>
    <row r="928" spans="1:19" ht="15" customHeight="1" x14ac:dyDescent="0.3">
      <c r="A928">
        <v>927</v>
      </c>
      <c r="B928" t="s">
        <v>1345</v>
      </c>
      <c r="C928">
        <v>8101571</v>
      </c>
      <c r="D928" t="s">
        <v>114</v>
      </c>
      <c r="E928">
        <v>39</v>
      </c>
      <c r="F928" t="s">
        <v>76</v>
      </c>
      <c r="G928" s="10">
        <v>45421</v>
      </c>
      <c r="H928" t="s">
        <v>41</v>
      </c>
      <c r="I928" t="s">
        <v>82</v>
      </c>
      <c r="J928" t="s">
        <v>53</v>
      </c>
      <c r="K928" t="s">
        <v>187</v>
      </c>
      <c r="L928" t="s">
        <v>58</v>
      </c>
      <c r="M928" t="s">
        <v>315</v>
      </c>
      <c r="N928">
        <v>3</v>
      </c>
      <c r="O928" t="s">
        <v>117</v>
      </c>
      <c r="P928" s="11">
        <v>6600</v>
      </c>
      <c r="Q928" t="s">
        <v>63</v>
      </c>
      <c r="R928" s="11">
        <f t="shared" si="28"/>
        <v>6600</v>
      </c>
      <c r="S928" t="str">
        <f t="shared" si="29"/>
        <v>One-Time</v>
      </c>
    </row>
    <row r="929" spans="1:19" ht="15" customHeight="1" x14ac:dyDescent="0.3">
      <c r="A929">
        <v>928</v>
      </c>
      <c r="B929" t="s">
        <v>1346</v>
      </c>
      <c r="C929">
        <v>2494201</v>
      </c>
      <c r="D929" t="s">
        <v>114</v>
      </c>
      <c r="E929">
        <v>19</v>
      </c>
      <c r="F929" t="s">
        <v>75</v>
      </c>
      <c r="G929" s="10">
        <v>45422</v>
      </c>
      <c r="H929" t="s">
        <v>41</v>
      </c>
      <c r="I929" t="s">
        <v>82</v>
      </c>
      <c r="J929" t="s">
        <v>53</v>
      </c>
      <c r="K929" t="s">
        <v>187</v>
      </c>
      <c r="L929" t="s">
        <v>58</v>
      </c>
      <c r="M929" t="s">
        <v>122</v>
      </c>
      <c r="N929">
        <v>6</v>
      </c>
      <c r="O929" t="s">
        <v>117</v>
      </c>
      <c r="P929" s="11">
        <v>6600</v>
      </c>
      <c r="Q929" t="s">
        <v>781</v>
      </c>
      <c r="R929" s="11">
        <f t="shared" si="28"/>
        <v>6600</v>
      </c>
      <c r="S929" t="str">
        <f t="shared" si="29"/>
        <v>One-Time</v>
      </c>
    </row>
    <row r="930" spans="1:19" ht="15" customHeight="1" x14ac:dyDescent="0.3">
      <c r="A930">
        <v>929</v>
      </c>
      <c r="B930" t="s">
        <v>1347</v>
      </c>
      <c r="C930">
        <v>2072482</v>
      </c>
      <c r="D930" t="s">
        <v>114</v>
      </c>
      <c r="E930">
        <v>34</v>
      </c>
      <c r="F930" t="s">
        <v>76</v>
      </c>
      <c r="G930" s="10">
        <v>45423</v>
      </c>
      <c r="H930" t="s">
        <v>41</v>
      </c>
      <c r="I930" t="s">
        <v>82</v>
      </c>
      <c r="J930" t="s">
        <v>53</v>
      </c>
      <c r="K930" t="s">
        <v>187</v>
      </c>
      <c r="L930" t="s">
        <v>58</v>
      </c>
      <c r="M930" t="s">
        <v>122</v>
      </c>
      <c r="N930">
        <v>9</v>
      </c>
      <c r="O930" t="s">
        <v>117</v>
      </c>
      <c r="P930" s="11">
        <v>6600</v>
      </c>
      <c r="Q930" t="s">
        <v>1348</v>
      </c>
      <c r="R930" s="11">
        <f t="shared" si="28"/>
        <v>6600</v>
      </c>
      <c r="S930" t="str">
        <f t="shared" si="29"/>
        <v>One-Time</v>
      </c>
    </row>
    <row r="931" spans="1:19" ht="15" customHeight="1" x14ac:dyDescent="0.3">
      <c r="A931">
        <v>930</v>
      </c>
      <c r="B931" t="s">
        <v>1349</v>
      </c>
      <c r="C931">
        <v>1942302</v>
      </c>
      <c r="D931" t="s">
        <v>114</v>
      </c>
      <c r="E931">
        <v>27</v>
      </c>
      <c r="F931" t="s">
        <v>75</v>
      </c>
      <c r="G931" s="10">
        <v>45424</v>
      </c>
      <c r="H931" t="s">
        <v>41</v>
      </c>
      <c r="I931" t="s">
        <v>82</v>
      </c>
      <c r="J931" t="s">
        <v>53</v>
      </c>
      <c r="K931" t="s">
        <v>193</v>
      </c>
      <c r="L931" t="s">
        <v>58</v>
      </c>
      <c r="M931" t="s">
        <v>122</v>
      </c>
      <c r="N931">
        <v>2</v>
      </c>
      <c r="O931" t="s">
        <v>117</v>
      </c>
      <c r="P931" s="11">
        <v>6600</v>
      </c>
      <c r="Q931" t="s">
        <v>63</v>
      </c>
      <c r="R931" s="11">
        <f t="shared" si="28"/>
        <v>6600</v>
      </c>
      <c r="S931" t="str">
        <f t="shared" si="29"/>
        <v>One-Time</v>
      </c>
    </row>
    <row r="932" spans="1:19" ht="15" customHeight="1" x14ac:dyDescent="0.3">
      <c r="A932">
        <v>931</v>
      </c>
      <c r="B932" t="s">
        <v>1350</v>
      </c>
      <c r="C932">
        <v>4183814</v>
      </c>
      <c r="D932" t="s">
        <v>114</v>
      </c>
      <c r="E932">
        <v>59</v>
      </c>
      <c r="F932" t="s">
        <v>77</v>
      </c>
      <c r="G932" s="10">
        <v>45425</v>
      </c>
      <c r="H932" t="s">
        <v>41</v>
      </c>
      <c r="I932" t="s">
        <v>82</v>
      </c>
      <c r="J932" t="s">
        <v>53</v>
      </c>
      <c r="K932" t="s">
        <v>193</v>
      </c>
      <c r="L932" t="s">
        <v>56</v>
      </c>
      <c r="M932" t="s">
        <v>122</v>
      </c>
      <c r="N932">
        <v>5</v>
      </c>
      <c r="O932" t="s">
        <v>117</v>
      </c>
      <c r="P932" s="11">
        <v>6600</v>
      </c>
      <c r="Q932" t="s">
        <v>62</v>
      </c>
      <c r="R932" s="11">
        <f t="shared" si="28"/>
        <v>6600</v>
      </c>
      <c r="S932" t="str">
        <f t="shared" si="29"/>
        <v>One-Time</v>
      </c>
    </row>
    <row r="933" spans="1:19" ht="15" customHeight="1" x14ac:dyDescent="0.3">
      <c r="A933">
        <v>932</v>
      </c>
      <c r="B933" t="s">
        <v>1351</v>
      </c>
      <c r="C933">
        <v>3629671</v>
      </c>
      <c r="D933" t="s">
        <v>114</v>
      </c>
      <c r="E933">
        <v>33</v>
      </c>
      <c r="F933" t="s">
        <v>76</v>
      </c>
      <c r="G933" s="10">
        <v>45426</v>
      </c>
      <c r="H933" t="s">
        <v>41</v>
      </c>
      <c r="I933" t="s">
        <v>82</v>
      </c>
      <c r="J933" t="s">
        <v>53</v>
      </c>
      <c r="K933" t="s">
        <v>193</v>
      </c>
      <c r="L933" t="s">
        <v>56</v>
      </c>
      <c r="M933" t="s">
        <v>122</v>
      </c>
      <c r="N933">
        <v>6</v>
      </c>
      <c r="O933" t="s">
        <v>117</v>
      </c>
      <c r="P933" s="11">
        <v>6600</v>
      </c>
      <c r="Q933" t="s">
        <v>145</v>
      </c>
      <c r="R933" s="11">
        <f t="shared" si="28"/>
        <v>6600</v>
      </c>
      <c r="S933" t="str">
        <f t="shared" si="29"/>
        <v>One-Time</v>
      </c>
    </row>
    <row r="934" spans="1:19" ht="15" customHeight="1" x14ac:dyDescent="0.3">
      <c r="A934">
        <v>933</v>
      </c>
      <c r="B934" t="s">
        <v>1352</v>
      </c>
      <c r="C934">
        <v>9941188</v>
      </c>
      <c r="D934" t="s">
        <v>114</v>
      </c>
      <c r="E934">
        <v>38</v>
      </c>
      <c r="F934" t="s">
        <v>76</v>
      </c>
      <c r="G934" s="10">
        <v>45427</v>
      </c>
      <c r="H934" t="s">
        <v>41</v>
      </c>
      <c r="I934" t="s">
        <v>82</v>
      </c>
      <c r="J934" t="s">
        <v>53</v>
      </c>
      <c r="K934" t="s">
        <v>193</v>
      </c>
      <c r="L934" t="s">
        <v>56</v>
      </c>
      <c r="M934" t="s">
        <v>122</v>
      </c>
      <c r="N934">
        <v>9</v>
      </c>
      <c r="O934" t="s">
        <v>117</v>
      </c>
      <c r="P934" s="11">
        <v>6600</v>
      </c>
      <c r="Q934" t="s">
        <v>1353</v>
      </c>
      <c r="R934" s="11">
        <f t="shared" si="28"/>
        <v>6600</v>
      </c>
      <c r="S934" t="str">
        <f t="shared" si="29"/>
        <v>One-Time</v>
      </c>
    </row>
    <row r="935" spans="1:19" ht="15" customHeight="1" x14ac:dyDescent="0.3">
      <c r="A935">
        <v>934</v>
      </c>
      <c r="B935" t="s">
        <v>1354</v>
      </c>
      <c r="C935">
        <v>2975043</v>
      </c>
      <c r="D935" t="s">
        <v>114</v>
      </c>
      <c r="E935">
        <v>31</v>
      </c>
      <c r="F935" t="s">
        <v>76</v>
      </c>
      <c r="G935" s="10">
        <v>45428</v>
      </c>
      <c r="H935" t="s">
        <v>41</v>
      </c>
      <c r="I935" t="s">
        <v>82</v>
      </c>
      <c r="J935" t="s">
        <v>53</v>
      </c>
      <c r="K935" t="s">
        <v>193</v>
      </c>
      <c r="L935" t="s">
        <v>56</v>
      </c>
      <c r="M935" t="s">
        <v>122</v>
      </c>
      <c r="N935">
        <v>7</v>
      </c>
      <c r="O935" t="s">
        <v>117</v>
      </c>
      <c r="P935" s="11">
        <v>6600</v>
      </c>
      <c r="Q935" t="s">
        <v>63</v>
      </c>
      <c r="R935" s="11">
        <f t="shared" si="28"/>
        <v>6600</v>
      </c>
      <c r="S935" t="str">
        <f t="shared" si="29"/>
        <v>One-Time</v>
      </c>
    </row>
    <row r="936" spans="1:19" ht="15" customHeight="1" x14ac:dyDescent="0.3">
      <c r="A936">
        <v>935</v>
      </c>
      <c r="B936" t="s">
        <v>1355</v>
      </c>
      <c r="C936">
        <v>909589</v>
      </c>
      <c r="D936" t="s">
        <v>114</v>
      </c>
      <c r="E936">
        <v>37</v>
      </c>
      <c r="F936" t="s">
        <v>76</v>
      </c>
      <c r="G936" s="10">
        <v>45429</v>
      </c>
      <c r="H936" t="s">
        <v>41</v>
      </c>
      <c r="I936" t="s">
        <v>85</v>
      </c>
      <c r="J936" t="s">
        <v>53</v>
      </c>
      <c r="K936" t="s">
        <v>193</v>
      </c>
      <c r="L936" t="s">
        <v>56</v>
      </c>
      <c r="M936" t="s">
        <v>122</v>
      </c>
      <c r="N936">
        <v>81</v>
      </c>
      <c r="O936" t="s">
        <v>117</v>
      </c>
      <c r="P936" s="11">
        <v>6600</v>
      </c>
      <c r="Q936" t="s">
        <v>1356</v>
      </c>
      <c r="R936" s="11">
        <f t="shared" si="28"/>
        <v>0</v>
      </c>
      <c r="S936" t="str">
        <f t="shared" si="29"/>
        <v>One-Time</v>
      </c>
    </row>
    <row r="937" spans="1:19" ht="15" customHeight="1" x14ac:dyDescent="0.3">
      <c r="A937">
        <v>936</v>
      </c>
      <c r="B937" t="s">
        <v>1357</v>
      </c>
      <c r="C937">
        <v>1642533</v>
      </c>
      <c r="D937" t="s">
        <v>114</v>
      </c>
      <c r="E937">
        <v>27</v>
      </c>
      <c r="F937" t="s">
        <v>75</v>
      </c>
      <c r="G937" s="10">
        <v>45430</v>
      </c>
      <c r="H937" t="s">
        <v>41</v>
      </c>
      <c r="I937" t="s">
        <v>82</v>
      </c>
      <c r="J937" t="s">
        <v>53</v>
      </c>
      <c r="K937" t="s">
        <v>193</v>
      </c>
      <c r="L937" t="s">
        <v>56</v>
      </c>
      <c r="M937" t="s">
        <v>122</v>
      </c>
      <c r="N937">
        <v>24</v>
      </c>
      <c r="O937" t="s">
        <v>117</v>
      </c>
      <c r="P937" s="11">
        <v>6600</v>
      </c>
      <c r="Q937" t="s">
        <v>401</v>
      </c>
      <c r="R937" s="11">
        <f t="shared" si="28"/>
        <v>6600</v>
      </c>
      <c r="S937" t="str">
        <f t="shared" si="29"/>
        <v>One-Time</v>
      </c>
    </row>
    <row r="938" spans="1:19" ht="15" customHeight="1" x14ac:dyDescent="0.3">
      <c r="A938">
        <v>937</v>
      </c>
      <c r="B938" t="s">
        <v>1358</v>
      </c>
      <c r="C938">
        <v>8074188</v>
      </c>
      <c r="D938" t="s">
        <v>114</v>
      </c>
      <c r="E938">
        <v>26</v>
      </c>
      <c r="F938" t="s">
        <v>75</v>
      </c>
      <c r="G938" s="10">
        <v>45431</v>
      </c>
      <c r="H938" t="s">
        <v>41</v>
      </c>
      <c r="I938" t="s">
        <v>82</v>
      </c>
      <c r="J938" t="s">
        <v>53</v>
      </c>
      <c r="K938" t="s">
        <v>193</v>
      </c>
      <c r="L938" t="s">
        <v>56</v>
      </c>
      <c r="M938" t="s">
        <v>122</v>
      </c>
      <c r="N938">
        <v>56</v>
      </c>
      <c r="O938" t="s">
        <v>117</v>
      </c>
      <c r="P938" s="11">
        <v>6600</v>
      </c>
      <c r="Q938" t="s">
        <v>677</v>
      </c>
      <c r="R938" s="11">
        <f t="shared" si="28"/>
        <v>6600</v>
      </c>
      <c r="S938" t="str">
        <f t="shared" si="29"/>
        <v>One-Time</v>
      </c>
    </row>
    <row r="939" spans="1:19" ht="15" customHeight="1" x14ac:dyDescent="0.3">
      <c r="A939">
        <v>938</v>
      </c>
      <c r="B939" t="s">
        <v>1359</v>
      </c>
      <c r="C939">
        <v>709714</v>
      </c>
      <c r="D939" t="s">
        <v>114</v>
      </c>
      <c r="E939">
        <v>37</v>
      </c>
      <c r="F939" t="s">
        <v>76</v>
      </c>
      <c r="G939" s="10">
        <v>45432</v>
      </c>
      <c r="H939" t="s">
        <v>41</v>
      </c>
      <c r="I939" t="s">
        <v>82</v>
      </c>
      <c r="J939" t="s">
        <v>53</v>
      </c>
      <c r="K939" t="s">
        <v>193</v>
      </c>
      <c r="L939" t="s">
        <v>56</v>
      </c>
      <c r="M939" t="s">
        <v>122</v>
      </c>
      <c r="N939">
        <v>55</v>
      </c>
      <c r="O939" t="s">
        <v>117</v>
      </c>
      <c r="P939" s="11">
        <v>6600</v>
      </c>
      <c r="Q939" t="s">
        <v>66</v>
      </c>
      <c r="R939" s="11">
        <f t="shared" si="28"/>
        <v>6600</v>
      </c>
      <c r="S939" t="str">
        <f t="shared" si="29"/>
        <v>One-Time</v>
      </c>
    </row>
    <row r="940" spans="1:19" ht="15" customHeight="1" x14ac:dyDescent="0.3">
      <c r="A940">
        <v>939</v>
      </c>
      <c r="B940" t="s">
        <v>1360</v>
      </c>
      <c r="C940">
        <v>6573904</v>
      </c>
      <c r="D940" t="s">
        <v>114</v>
      </c>
      <c r="E940">
        <v>72</v>
      </c>
      <c r="F940" t="s">
        <v>77</v>
      </c>
      <c r="G940" s="10">
        <v>45433</v>
      </c>
      <c r="H940" t="s">
        <v>41</v>
      </c>
      <c r="I940" t="s">
        <v>82</v>
      </c>
      <c r="J940" t="s">
        <v>53</v>
      </c>
      <c r="K940" t="s">
        <v>193</v>
      </c>
      <c r="L940" t="s">
        <v>56</v>
      </c>
      <c r="M940" t="s">
        <v>122</v>
      </c>
      <c r="N940">
        <v>5</v>
      </c>
      <c r="O940" t="s">
        <v>117</v>
      </c>
      <c r="P940" s="11">
        <v>6600</v>
      </c>
      <c r="Q940" t="s">
        <v>631</v>
      </c>
      <c r="R940" s="11">
        <f t="shared" si="28"/>
        <v>6600</v>
      </c>
      <c r="S940" t="str">
        <f t="shared" si="29"/>
        <v>One-Time</v>
      </c>
    </row>
    <row r="941" spans="1:19" ht="15" customHeight="1" x14ac:dyDescent="0.3">
      <c r="A941">
        <v>940</v>
      </c>
      <c r="B941" t="s">
        <v>1361</v>
      </c>
      <c r="C941">
        <v>8738723</v>
      </c>
      <c r="D941" t="s">
        <v>114</v>
      </c>
      <c r="E941">
        <v>34</v>
      </c>
      <c r="F941" t="s">
        <v>76</v>
      </c>
      <c r="G941" s="10">
        <v>45434</v>
      </c>
      <c r="H941" t="s">
        <v>41</v>
      </c>
      <c r="I941" t="s">
        <v>82</v>
      </c>
      <c r="J941" t="s">
        <v>53</v>
      </c>
      <c r="K941" t="s">
        <v>193</v>
      </c>
      <c r="L941" t="s">
        <v>56</v>
      </c>
      <c r="M941" t="s">
        <v>122</v>
      </c>
      <c r="N941">
        <v>4</v>
      </c>
      <c r="O941" t="s">
        <v>117</v>
      </c>
      <c r="P941" s="11">
        <v>6600</v>
      </c>
      <c r="Q941" t="s">
        <v>1362</v>
      </c>
      <c r="R941" s="11">
        <f t="shared" si="28"/>
        <v>6600</v>
      </c>
      <c r="S941" t="str">
        <f t="shared" si="29"/>
        <v>One-Time</v>
      </c>
    </row>
    <row r="942" spans="1:19" ht="15" customHeight="1" x14ac:dyDescent="0.3">
      <c r="A942">
        <v>941</v>
      </c>
      <c r="B942" t="s">
        <v>1363</v>
      </c>
      <c r="C942">
        <v>6194318</v>
      </c>
      <c r="D942" t="s">
        <v>114</v>
      </c>
      <c r="E942">
        <v>39</v>
      </c>
      <c r="F942" t="s">
        <v>76</v>
      </c>
      <c r="G942" s="10">
        <v>45435</v>
      </c>
      <c r="H942" t="s">
        <v>41</v>
      </c>
      <c r="I942" t="s">
        <v>82</v>
      </c>
      <c r="J942" t="s">
        <v>53</v>
      </c>
      <c r="K942" t="s">
        <v>193</v>
      </c>
      <c r="L942" t="s">
        <v>56</v>
      </c>
      <c r="M942" t="s">
        <v>122</v>
      </c>
      <c r="N942">
        <v>8</v>
      </c>
      <c r="O942" t="s">
        <v>117</v>
      </c>
      <c r="P942" s="11">
        <v>6600</v>
      </c>
      <c r="Q942" t="s">
        <v>62</v>
      </c>
      <c r="R942" s="11">
        <f t="shared" si="28"/>
        <v>6600</v>
      </c>
      <c r="S942" t="str">
        <f t="shared" si="29"/>
        <v>One-Time</v>
      </c>
    </row>
    <row r="943" spans="1:19" ht="15" customHeight="1" x14ac:dyDescent="0.3">
      <c r="A943">
        <v>942</v>
      </c>
      <c r="B943" t="s">
        <v>1364</v>
      </c>
      <c r="C943">
        <v>4038476</v>
      </c>
      <c r="D943" t="s">
        <v>114</v>
      </c>
      <c r="E943">
        <v>22</v>
      </c>
      <c r="F943" t="s">
        <v>75</v>
      </c>
      <c r="G943" s="10">
        <v>45436</v>
      </c>
      <c r="H943" t="s">
        <v>41</v>
      </c>
      <c r="I943" t="s">
        <v>82</v>
      </c>
      <c r="J943" t="s">
        <v>53</v>
      </c>
      <c r="K943" t="s">
        <v>193</v>
      </c>
      <c r="L943" t="s">
        <v>56</v>
      </c>
      <c r="M943" t="s">
        <v>122</v>
      </c>
      <c r="N943">
        <v>7</v>
      </c>
      <c r="O943" t="s">
        <v>117</v>
      </c>
      <c r="P943" s="11">
        <v>6600</v>
      </c>
      <c r="Q943" t="s">
        <v>414</v>
      </c>
      <c r="R943" s="11">
        <f t="shared" si="28"/>
        <v>6600</v>
      </c>
      <c r="S943" t="str">
        <f t="shared" si="29"/>
        <v>One-Time</v>
      </c>
    </row>
    <row r="944" spans="1:19" ht="15" customHeight="1" x14ac:dyDescent="0.3">
      <c r="A944">
        <v>943</v>
      </c>
      <c r="B944" t="s">
        <v>1365</v>
      </c>
      <c r="C944">
        <v>7440385</v>
      </c>
      <c r="D944" t="s">
        <v>114</v>
      </c>
      <c r="E944">
        <v>35</v>
      </c>
      <c r="F944" t="s">
        <v>76</v>
      </c>
      <c r="G944" s="10">
        <v>45437</v>
      </c>
      <c r="H944" t="s">
        <v>41</v>
      </c>
      <c r="I944" t="s">
        <v>82</v>
      </c>
      <c r="J944" t="s">
        <v>53</v>
      </c>
      <c r="K944" t="s">
        <v>193</v>
      </c>
      <c r="L944" t="s">
        <v>56</v>
      </c>
      <c r="M944" t="s">
        <v>122</v>
      </c>
      <c r="N944">
        <v>9</v>
      </c>
      <c r="O944" t="s">
        <v>117</v>
      </c>
      <c r="P944" s="11">
        <v>6900</v>
      </c>
      <c r="Q944" t="s">
        <v>1366</v>
      </c>
      <c r="R944" s="11">
        <f t="shared" si="28"/>
        <v>6900</v>
      </c>
      <c r="S944" t="str">
        <f t="shared" si="29"/>
        <v>One-Time</v>
      </c>
    </row>
    <row r="945" spans="1:19" ht="15" customHeight="1" x14ac:dyDescent="0.3">
      <c r="A945">
        <v>944</v>
      </c>
      <c r="B945" t="s">
        <v>1367</v>
      </c>
      <c r="C945">
        <v>6619987</v>
      </c>
      <c r="D945" t="s">
        <v>114</v>
      </c>
      <c r="E945">
        <v>19</v>
      </c>
      <c r="F945" t="s">
        <v>75</v>
      </c>
      <c r="G945" s="10">
        <v>45438</v>
      </c>
      <c r="H945" t="s">
        <v>41</v>
      </c>
      <c r="I945" t="s">
        <v>82</v>
      </c>
      <c r="J945" t="s">
        <v>53</v>
      </c>
      <c r="K945" t="s">
        <v>193</v>
      </c>
      <c r="L945" t="s">
        <v>56</v>
      </c>
      <c r="M945" t="s">
        <v>122</v>
      </c>
      <c r="N945">
        <v>3</v>
      </c>
      <c r="O945" t="s">
        <v>117</v>
      </c>
      <c r="P945" s="11">
        <v>6900</v>
      </c>
      <c r="Q945" t="s">
        <v>64</v>
      </c>
      <c r="R945" s="11">
        <f t="shared" si="28"/>
        <v>6900</v>
      </c>
      <c r="S945" t="str">
        <f t="shared" si="29"/>
        <v>One-Time</v>
      </c>
    </row>
    <row r="946" spans="1:19" ht="15" customHeight="1" x14ac:dyDescent="0.3">
      <c r="A946">
        <v>945</v>
      </c>
      <c r="B946" t="s">
        <v>1368</v>
      </c>
      <c r="C946">
        <v>9142846</v>
      </c>
      <c r="D946" t="s">
        <v>114</v>
      </c>
      <c r="E946">
        <v>28</v>
      </c>
      <c r="F946" t="s">
        <v>75</v>
      </c>
      <c r="G946" s="10">
        <v>45439</v>
      </c>
      <c r="H946" t="s">
        <v>41</v>
      </c>
      <c r="I946" t="s">
        <v>82</v>
      </c>
      <c r="J946" t="s">
        <v>53</v>
      </c>
      <c r="K946" t="s">
        <v>193</v>
      </c>
      <c r="L946" t="s">
        <v>56</v>
      </c>
      <c r="M946" t="s">
        <v>122</v>
      </c>
      <c r="N946">
        <v>32</v>
      </c>
      <c r="O946" t="s">
        <v>117</v>
      </c>
      <c r="P946" s="11">
        <v>6900</v>
      </c>
      <c r="Q946" t="s">
        <v>596</v>
      </c>
      <c r="R946" s="11">
        <f t="shared" si="28"/>
        <v>6900</v>
      </c>
      <c r="S946" t="str">
        <f t="shared" si="29"/>
        <v>One-Time</v>
      </c>
    </row>
    <row r="947" spans="1:19" ht="15" customHeight="1" x14ac:dyDescent="0.3">
      <c r="A947">
        <v>946</v>
      </c>
      <c r="B947" t="s">
        <v>1369</v>
      </c>
      <c r="C947">
        <v>2901693</v>
      </c>
      <c r="D947" t="s">
        <v>114</v>
      </c>
      <c r="E947">
        <v>28</v>
      </c>
      <c r="F947" t="s">
        <v>75</v>
      </c>
      <c r="G947" s="10">
        <v>45440</v>
      </c>
      <c r="H947" t="s">
        <v>41</v>
      </c>
      <c r="I947" t="s">
        <v>82</v>
      </c>
      <c r="J947" t="s">
        <v>53</v>
      </c>
      <c r="K947" t="s">
        <v>115</v>
      </c>
      <c r="L947" t="s">
        <v>56</v>
      </c>
      <c r="M947" t="s">
        <v>122</v>
      </c>
      <c r="N947">
        <v>65</v>
      </c>
      <c r="O947" t="s">
        <v>117</v>
      </c>
      <c r="P947" s="11">
        <v>6900</v>
      </c>
      <c r="Q947" t="s">
        <v>1370</v>
      </c>
      <c r="R947" s="11">
        <f t="shared" si="28"/>
        <v>6900</v>
      </c>
      <c r="S947" t="str">
        <f t="shared" si="29"/>
        <v>One-Time</v>
      </c>
    </row>
    <row r="948" spans="1:19" ht="15" customHeight="1" x14ac:dyDescent="0.3">
      <c r="A948">
        <v>947</v>
      </c>
      <c r="B948" t="s">
        <v>1371</v>
      </c>
      <c r="C948">
        <v>5023447</v>
      </c>
      <c r="D948" t="s">
        <v>114</v>
      </c>
      <c r="E948">
        <v>45</v>
      </c>
      <c r="F948" t="s">
        <v>76</v>
      </c>
      <c r="G948" s="10">
        <v>45441</v>
      </c>
      <c r="H948" t="s">
        <v>41</v>
      </c>
      <c r="I948" t="s">
        <v>82</v>
      </c>
      <c r="J948" t="s">
        <v>53</v>
      </c>
      <c r="K948" t="s">
        <v>115</v>
      </c>
      <c r="L948" t="s">
        <v>56</v>
      </c>
      <c r="M948" t="s">
        <v>122</v>
      </c>
      <c r="N948">
        <v>4</v>
      </c>
      <c r="O948" t="s">
        <v>117</v>
      </c>
      <c r="P948" s="11">
        <v>6900</v>
      </c>
      <c r="Q948" t="s">
        <v>65</v>
      </c>
      <c r="R948" s="11">
        <f t="shared" si="28"/>
        <v>6900</v>
      </c>
      <c r="S948" t="str">
        <f t="shared" si="29"/>
        <v>One-Time</v>
      </c>
    </row>
    <row r="949" spans="1:19" ht="15" customHeight="1" x14ac:dyDescent="0.3">
      <c r="A949">
        <v>948</v>
      </c>
      <c r="B949" t="s">
        <v>1372</v>
      </c>
      <c r="C949">
        <v>2197786</v>
      </c>
      <c r="D949" t="s">
        <v>114</v>
      </c>
      <c r="E949">
        <v>48</v>
      </c>
      <c r="F949" t="s">
        <v>76</v>
      </c>
      <c r="G949" s="10">
        <v>45442</v>
      </c>
      <c r="H949" t="s">
        <v>41</v>
      </c>
      <c r="I949" t="s">
        <v>82</v>
      </c>
      <c r="J949" t="s">
        <v>53</v>
      </c>
      <c r="K949" t="s">
        <v>115</v>
      </c>
      <c r="L949" t="s">
        <v>56</v>
      </c>
      <c r="M949" t="s">
        <v>122</v>
      </c>
      <c r="N949">
        <v>1</v>
      </c>
      <c r="O949" t="s">
        <v>117</v>
      </c>
      <c r="P949" s="11">
        <v>6900</v>
      </c>
      <c r="Q949" t="s">
        <v>740</v>
      </c>
      <c r="R949" s="11">
        <f t="shared" si="28"/>
        <v>6900</v>
      </c>
      <c r="S949" t="str">
        <f t="shared" si="29"/>
        <v>One-Time</v>
      </c>
    </row>
    <row r="950" spans="1:19" ht="15" customHeight="1" x14ac:dyDescent="0.3">
      <c r="A950">
        <v>949</v>
      </c>
      <c r="B950" t="s">
        <v>1373</v>
      </c>
      <c r="C950">
        <v>7351765</v>
      </c>
      <c r="D950" t="s">
        <v>114</v>
      </c>
      <c r="E950">
        <v>28</v>
      </c>
      <c r="F950" t="s">
        <v>75</v>
      </c>
      <c r="G950" s="10">
        <v>45443</v>
      </c>
      <c r="H950" t="s">
        <v>41</v>
      </c>
      <c r="I950" t="s">
        <v>82</v>
      </c>
      <c r="J950" t="s">
        <v>53</v>
      </c>
      <c r="K950" t="s">
        <v>115</v>
      </c>
      <c r="L950" t="s">
        <v>56</v>
      </c>
      <c r="M950" t="s">
        <v>122</v>
      </c>
      <c r="N950">
        <v>47</v>
      </c>
      <c r="O950" t="s">
        <v>117</v>
      </c>
      <c r="P950" s="11">
        <v>6900</v>
      </c>
      <c r="Q950" t="s">
        <v>174</v>
      </c>
      <c r="R950" s="11">
        <f t="shared" si="28"/>
        <v>6900</v>
      </c>
      <c r="S950" t="str">
        <f t="shared" si="29"/>
        <v>One-Time</v>
      </c>
    </row>
    <row r="951" spans="1:19" ht="15" customHeight="1" x14ac:dyDescent="0.3">
      <c r="A951">
        <v>950</v>
      </c>
      <c r="B951" t="s">
        <v>1374</v>
      </c>
      <c r="C951">
        <v>8268269</v>
      </c>
      <c r="D951" t="s">
        <v>114</v>
      </c>
      <c r="E951">
        <v>35</v>
      </c>
      <c r="F951" t="s">
        <v>76</v>
      </c>
      <c r="G951" s="10">
        <v>45444</v>
      </c>
      <c r="H951" t="s">
        <v>42</v>
      </c>
      <c r="I951" t="s">
        <v>82</v>
      </c>
      <c r="J951" t="s">
        <v>53</v>
      </c>
      <c r="K951" t="s">
        <v>115</v>
      </c>
      <c r="L951" t="s">
        <v>56</v>
      </c>
      <c r="M951" t="s">
        <v>122</v>
      </c>
      <c r="N951">
        <v>3</v>
      </c>
      <c r="O951" t="s">
        <v>117</v>
      </c>
      <c r="P951" s="11">
        <v>6900</v>
      </c>
      <c r="Q951" t="s">
        <v>1375</v>
      </c>
      <c r="R951" s="11">
        <f t="shared" si="28"/>
        <v>6900</v>
      </c>
      <c r="S951" t="str">
        <f t="shared" si="29"/>
        <v>One-Time</v>
      </c>
    </row>
    <row r="952" spans="1:19" ht="15" customHeight="1" x14ac:dyDescent="0.3">
      <c r="A952">
        <v>951</v>
      </c>
      <c r="B952" t="s">
        <v>1376</v>
      </c>
      <c r="C952">
        <v>7419991</v>
      </c>
      <c r="D952" t="s">
        <v>114</v>
      </c>
      <c r="E952">
        <v>46</v>
      </c>
      <c r="F952" t="s">
        <v>76</v>
      </c>
      <c r="G952" s="10">
        <v>45445</v>
      </c>
      <c r="H952" t="s">
        <v>42</v>
      </c>
      <c r="I952" t="s">
        <v>82</v>
      </c>
      <c r="J952" t="s">
        <v>53</v>
      </c>
      <c r="K952" t="s">
        <v>115</v>
      </c>
      <c r="L952" t="s">
        <v>56</v>
      </c>
      <c r="M952" t="s">
        <v>122</v>
      </c>
      <c r="N952">
        <v>4</v>
      </c>
      <c r="O952" t="s">
        <v>117</v>
      </c>
      <c r="P952" s="11">
        <v>6900</v>
      </c>
      <c r="Q952" t="s">
        <v>313</v>
      </c>
      <c r="R952" s="11">
        <f t="shared" si="28"/>
        <v>6900</v>
      </c>
      <c r="S952" t="str">
        <f t="shared" si="29"/>
        <v>One-Time</v>
      </c>
    </row>
    <row r="953" spans="1:19" ht="15" customHeight="1" x14ac:dyDescent="0.3">
      <c r="A953">
        <v>952</v>
      </c>
      <c r="B953" t="s">
        <v>1377</v>
      </c>
      <c r="C953">
        <v>4157685</v>
      </c>
      <c r="D953" t="s">
        <v>114</v>
      </c>
      <c r="E953">
        <v>41</v>
      </c>
      <c r="F953" t="s">
        <v>76</v>
      </c>
      <c r="G953" s="10">
        <v>45446</v>
      </c>
      <c r="H953" t="s">
        <v>42</v>
      </c>
      <c r="I953" t="s">
        <v>82</v>
      </c>
      <c r="J953" t="s">
        <v>53</v>
      </c>
      <c r="K953" t="s">
        <v>115</v>
      </c>
      <c r="L953" t="s">
        <v>56</v>
      </c>
      <c r="M953" t="s">
        <v>315</v>
      </c>
      <c r="N953">
        <v>4</v>
      </c>
      <c r="O953" t="s">
        <v>117</v>
      </c>
      <c r="P953" s="11">
        <v>6900</v>
      </c>
      <c r="Q953" t="s">
        <v>70</v>
      </c>
      <c r="R953" s="11">
        <f t="shared" si="28"/>
        <v>6900</v>
      </c>
      <c r="S953" t="str">
        <f t="shared" si="29"/>
        <v>One-Time</v>
      </c>
    </row>
    <row r="954" spans="1:19" ht="15" customHeight="1" x14ac:dyDescent="0.3">
      <c r="A954">
        <v>953</v>
      </c>
      <c r="B954" t="s">
        <v>1378</v>
      </c>
      <c r="C954">
        <v>2316020</v>
      </c>
      <c r="D954" t="s">
        <v>114</v>
      </c>
      <c r="E954">
        <v>37</v>
      </c>
      <c r="F954" t="s">
        <v>76</v>
      </c>
      <c r="G954" s="10">
        <v>45447</v>
      </c>
      <c r="H954" t="s">
        <v>42</v>
      </c>
      <c r="I954" t="s">
        <v>82</v>
      </c>
      <c r="J954" t="s">
        <v>53</v>
      </c>
      <c r="K954" t="s">
        <v>115</v>
      </c>
      <c r="L954" t="s">
        <v>56</v>
      </c>
      <c r="M954" t="s">
        <v>315</v>
      </c>
      <c r="N954">
        <v>9</v>
      </c>
      <c r="O954" t="s">
        <v>117</v>
      </c>
      <c r="P954" s="11">
        <v>6900</v>
      </c>
      <c r="Q954" t="s">
        <v>250</v>
      </c>
      <c r="R954" s="11">
        <f t="shared" si="28"/>
        <v>6900</v>
      </c>
      <c r="S954" t="str">
        <f t="shared" si="29"/>
        <v>One-Time</v>
      </c>
    </row>
    <row r="955" spans="1:19" ht="15" customHeight="1" x14ac:dyDescent="0.3">
      <c r="A955">
        <v>954</v>
      </c>
      <c r="B955" t="s">
        <v>1379</v>
      </c>
      <c r="C955">
        <v>776342</v>
      </c>
      <c r="D955" t="s">
        <v>114</v>
      </c>
      <c r="E955">
        <v>28</v>
      </c>
      <c r="F955" t="s">
        <v>75</v>
      </c>
      <c r="G955" s="10">
        <v>45448</v>
      </c>
      <c r="H955" t="s">
        <v>42</v>
      </c>
      <c r="I955" t="s">
        <v>82</v>
      </c>
      <c r="J955" t="s">
        <v>53</v>
      </c>
      <c r="K955" t="s">
        <v>115</v>
      </c>
      <c r="L955" t="s">
        <v>56</v>
      </c>
      <c r="M955" t="s">
        <v>315</v>
      </c>
      <c r="N955">
        <v>8</v>
      </c>
      <c r="O955" t="s">
        <v>117</v>
      </c>
      <c r="P955" s="11">
        <v>6900</v>
      </c>
      <c r="Q955" t="s">
        <v>63</v>
      </c>
      <c r="R955" s="11">
        <f t="shared" si="28"/>
        <v>6900</v>
      </c>
      <c r="S955" t="str">
        <f t="shared" si="29"/>
        <v>One-Time</v>
      </c>
    </row>
    <row r="956" spans="1:19" ht="15" customHeight="1" x14ac:dyDescent="0.3">
      <c r="A956">
        <v>955</v>
      </c>
      <c r="B956" t="s">
        <v>1380</v>
      </c>
      <c r="C956">
        <v>2200412</v>
      </c>
      <c r="D956" t="s">
        <v>114</v>
      </c>
      <c r="E956">
        <v>34</v>
      </c>
      <c r="F956" t="s">
        <v>76</v>
      </c>
      <c r="G956" s="10">
        <v>45449</v>
      </c>
      <c r="H956" t="s">
        <v>42</v>
      </c>
      <c r="I956" t="s">
        <v>82</v>
      </c>
      <c r="J956" t="s">
        <v>47</v>
      </c>
      <c r="K956" t="s">
        <v>115</v>
      </c>
      <c r="L956" t="s">
        <v>56</v>
      </c>
      <c r="M956" t="s">
        <v>315</v>
      </c>
      <c r="N956">
        <v>3</v>
      </c>
      <c r="O956" t="s">
        <v>117</v>
      </c>
      <c r="P956" s="11">
        <v>6900</v>
      </c>
      <c r="Q956" t="s">
        <v>66</v>
      </c>
      <c r="R956" s="11">
        <f t="shared" si="28"/>
        <v>6900</v>
      </c>
      <c r="S956" t="str">
        <f t="shared" si="29"/>
        <v>One-Time</v>
      </c>
    </row>
    <row r="957" spans="1:19" ht="15" customHeight="1" x14ac:dyDescent="0.3">
      <c r="A957">
        <v>956</v>
      </c>
      <c r="B957" t="s">
        <v>1381</v>
      </c>
      <c r="C957">
        <v>8221697</v>
      </c>
      <c r="D957" t="s">
        <v>114</v>
      </c>
      <c r="E957">
        <v>32</v>
      </c>
      <c r="F957" t="s">
        <v>76</v>
      </c>
      <c r="G957" s="10">
        <v>45450</v>
      </c>
      <c r="H957" t="s">
        <v>42</v>
      </c>
      <c r="I957" t="s">
        <v>82</v>
      </c>
      <c r="J957" t="s">
        <v>47</v>
      </c>
      <c r="K957" t="s">
        <v>115</v>
      </c>
      <c r="L957" t="s">
        <v>56</v>
      </c>
      <c r="M957" t="s">
        <v>315</v>
      </c>
      <c r="N957">
        <v>6</v>
      </c>
      <c r="O957" t="s">
        <v>117</v>
      </c>
      <c r="P957" s="11">
        <v>6900</v>
      </c>
      <c r="Q957" t="s">
        <v>66</v>
      </c>
      <c r="R957" s="11">
        <f t="shared" si="28"/>
        <v>6900</v>
      </c>
      <c r="S957" t="str">
        <f t="shared" si="29"/>
        <v>One-Time</v>
      </c>
    </row>
    <row r="958" spans="1:19" ht="15" customHeight="1" x14ac:dyDescent="0.3">
      <c r="A958">
        <v>957</v>
      </c>
      <c r="B958" t="s">
        <v>1382</v>
      </c>
      <c r="C958">
        <v>5267552</v>
      </c>
      <c r="D958" t="s">
        <v>114</v>
      </c>
      <c r="E958">
        <v>20</v>
      </c>
      <c r="F958" t="s">
        <v>75</v>
      </c>
      <c r="G958" s="10">
        <v>45451</v>
      </c>
      <c r="H958" t="s">
        <v>42</v>
      </c>
      <c r="I958" t="s">
        <v>82</v>
      </c>
      <c r="J958" t="s">
        <v>47</v>
      </c>
      <c r="K958" t="s">
        <v>115</v>
      </c>
      <c r="L958" t="s">
        <v>56</v>
      </c>
      <c r="M958" t="s">
        <v>315</v>
      </c>
      <c r="N958">
        <v>9</v>
      </c>
      <c r="O958" t="s">
        <v>117</v>
      </c>
      <c r="P958" s="11">
        <v>6900</v>
      </c>
      <c r="Q958" t="s">
        <v>64</v>
      </c>
      <c r="R958" s="11">
        <f t="shared" si="28"/>
        <v>6900</v>
      </c>
      <c r="S958" t="str">
        <f t="shared" si="29"/>
        <v>One-Time</v>
      </c>
    </row>
    <row r="959" spans="1:19" ht="15" customHeight="1" x14ac:dyDescent="0.3">
      <c r="A959">
        <v>958</v>
      </c>
      <c r="B959" t="s">
        <v>1383</v>
      </c>
      <c r="C959">
        <v>3885317</v>
      </c>
      <c r="D959" t="s">
        <v>114</v>
      </c>
      <c r="E959">
        <v>39</v>
      </c>
      <c r="F959" t="s">
        <v>76</v>
      </c>
      <c r="G959" s="10">
        <v>45452</v>
      </c>
      <c r="H959" t="s">
        <v>42</v>
      </c>
      <c r="I959" t="s">
        <v>82</v>
      </c>
      <c r="J959" t="s">
        <v>47</v>
      </c>
      <c r="K959" t="s">
        <v>115</v>
      </c>
      <c r="L959" t="s">
        <v>56</v>
      </c>
      <c r="M959" t="s">
        <v>315</v>
      </c>
      <c r="N959">
        <v>2</v>
      </c>
      <c r="O959" t="s">
        <v>117</v>
      </c>
      <c r="P959" s="11">
        <v>6900</v>
      </c>
      <c r="Q959" t="s">
        <v>62</v>
      </c>
      <c r="R959" s="11">
        <f t="shared" si="28"/>
        <v>6900</v>
      </c>
      <c r="S959" t="str">
        <f t="shared" si="29"/>
        <v>One-Time</v>
      </c>
    </row>
    <row r="960" spans="1:19" ht="15" customHeight="1" x14ac:dyDescent="0.3">
      <c r="A960">
        <v>959</v>
      </c>
      <c r="B960" t="s">
        <v>1384</v>
      </c>
      <c r="C960">
        <v>1465947</v>
      </c>
      <c r="D960" t="s">
        <v>114</v>
      </c>
      <c r="E960">
        <v>47</v>
      </c>
      <c r="F960" t="s">
        <v>76</v>
      </c>
      <c r="G960" s="10">
        <v>45453</v>
      </c>
      <c r="H960" t="s">
        <v>42</v>
      </c>
      <c r="I960" t="s">
        <v>82</v>
      </c>
      <c r="J960" t="s">
        <v>47</v>
      </c>
      <c r="K960" t="s">
        <v>115</v>
      </c>
      <c r="L960" t="s">
        <v>56</v>
      </c>
      <c r="M960" t="s">
        <v>315</v>
      </c>
      <c r="N960">
        <v>5</v>
      </c>
      <c r="O960" t="s">
        <v>117</v>
      </c>
      <c r="P960" s="11">
        <v>6900</v>
      </c>
      <c r="Q960" t="s">
        <v>304</v>
      </c>
      <c r="R960" s="11">
        <f t="shared" si="28"/>
        <v>6900</v>
      </c>
      <c r="S960" t="str">
        <f t="shared" si="29"/>
        <v>One-Time</v>
      </c>
    </row>
    <row r="961" spans="1:19" ht="15" customHeight="1" x14ac:dyDescent="0.3">
      <c r="A961">
        <v>960</v>
      </c>
      <c r="B961" t="s">
        <v>1385</v>
      </c>
      <c r="C961">
        <v>6465978</v>
      </c>
      <c r="D961" t="s">
        <v>114</v>
      </c>
      <c r="E961">
        <v>41</v>
      </c>
      <c r="F961" t="s">
        <v>76</v>
      </c>
      <c r="G961" s="10">
        <v>45454</v>
      </c>
      <c r="H961" t="s">
        <v>42</v>
      </c>
      <c r="I961" t="s">
        <v>82</v>
      </c>
      <c r="J961" t="s">
        <v>47</v>
      </c>
      <c r="K961" t="s">
        <v>115</v>
      </c>
      <c r="L961" t="s">
        <v>56</v>
      </c>
      <c r="M961" t="s">
        <v>315</v>
      </c>
      <c r="N961">
        <v>6</v>
      </c>
      <c r="O961" t="s">
        <v>117</v>
      </c>
      <c r="P961" s="11">
        <v>6900</v>
      </c>
      <c r="Q961" t="s">
        <v>670</v>
      </c>
      <c r="R961" s="11">
        <f t="shared" si="28"/>
        <v>6900</v>
      </c>
      <c r="S961" t="str">
        <f t="shared" si="29"/>
        <v>One-Time</v>
      </c>
    </row>
    <row r="962" spans="1:19" ht="15" customHeight="1" x14ac:dyDescent="0.3">
      <c r="A962">
        <v>961</v>
      </c>
      <c r="B962" t="s">
        <v>1386</v>
      </c>
      <c r="C962">
        <v>9783452</v>
      </c>
      <c r="D962" t="s">
        <v>114</v>
      </c>
      <c r="E962">
        <v>21</v>
      </c>
      <c r="F962" t="s">
        <v>75</v>
      </c>
      <c r="G962" s="10">
        <v>45455</v>
      </c>
      <c r="H962" t="s">
        <v>42</v>
      </c>
      <c r="I962" t="s">
        <v>82</v>
      </c>
      <c r="J962" t="s">
        <v>47</v>
      </c>
      <c r="K962" t="s">
        <v>115</v>
      </c>
      <c r="L962" t="s">
        <v>56</v>
      </c>
      <c r="M962" t="s">
        <v>315</v>
      </c>
      <c r="N962">
        <v>9</v>
      </c>
      <c r="O962" t="s">
        <v>117</v>
      </c>
      <c r="P962" s="11">
        <v>6900</v>
      </c>
      <c r="Q962" t="s">
        <v>65</v>
      </c>
      <c r="R962" s="11">
        <f t="shared" ref="R962:R1025" si="30">IF(I962="Delivered",P962,0)</f>
        <v>6900</v>
      </c>
      <c r="S962" t="str">
        <f t="shared" ref="S962:S1025" si="31">IF(COUNTIF($C$2:$C$1501,C962)&gt;1,"Repeat","One-Time")</f>
        <v>One-Time</v>
      </c>
    </row>
    <row r="963" spans="1:19" ht="15" customHeight="1" x14ac:dyDescent="0.3">
      <c r="A963">
        <v>962</v>
      </c>
      <c r="B963" t="s">
        <v>1387</v>
      </c>
      <c r="C963">
        <v>3213670</v>
      </c>
      <c r="D963" t="s">
        <v>114</v>
      </c>
      <c r="E963">
        <v>19</v>
      </c>
      <c r="F963" t="s">
        <v>75</v>
      </c>
      <c r="G963" s="10">
        <v>45456</v>
      </c>
      <c r="H963" t="s">
        <v>42</v>
      </c>
      <c r="I963" t="s">
        <v>82</v>
      </c>
      <c r="J963" t="s">
        <v>47</v>
      </c>
      <c r="K963" t="s">
        <v>115</v>
      </c>
      <c r="L963" t="s">
        <v>56</v>
      </c>
      <c r="M963" t="s">
        <v>315</v>
      </c>
      <c r="N963">
        <v>7</v>
      </c>
      <c r="O963" t="s">
        <v>117</v>
      </c>
      <c r="P963" s="11">
        <v>6900</v>
      </c>
      <c r="Q963" t="s">
        <v>1253</v>
      </c>
      <c r="R963" s="11">
        <f t="shared" si="30"/>
        <v>6900</v>
      </c>
      <c r="S963" t="str">
        <f t="shared" si="31"/>
        <v>One-Time</v>
      </c>
    </row>
    <row r="964" spans="1:19" ht="15" customHeight="1" x14ac:dyDescent="0.3">
      <c r="A964">
        <v>963</v>
      </c>
      <c r="B964" t="s">
        <v>1388</v>
      </c>
      <c r="C964">
        <v>3339810</v>
      </c>
      <c r="D964" t="s">
        <v>114</v>
      </c>
      <c r="E964">
        <v>39</v>
      </c>
      <c r="F964" t="s">
        <v>76</v>
      </c>
      <c r="G964" s="10">
        <v>45457</v>
      </c>
      <c r="H964" t="s">
        <v>42</v>
      </c>
      <c r="I964" t="s">
        <v>83</v>
      </c>
      <c r="J964" t="s">
        <v>47</v>
      </c>
      <c r="K964" t="s">
        <v>115</v>
      </c>
      <c r="L964" t="s">
        <v>56</v>
      </c>
      <c r="M964" t="s">
        <v>315</v>
      </c>
      <c r="N964">
        <v>81</v>
      </c>
      <c r="O964" t="s">
        <v>117</v>
      </c>
      <c r="P964" s="11">
        <v>6900</v>
      </c>
      <c r="Q964" t="s">
        <v>1389</v>
      </c>
      <c r="R964" s="11">
        <f t="shared" si="30"/>
        <v>0</v>
      </c>
      <c r="S964" t="str">
        <f t="shared" si="31"/>
        <v>One-Time</v>
      </c>
    </row>
    <row r="965" spans="1:19" ht="15" customHeight="1" x14ac:dyDescent="0.3">
      <c r="A965">
        <v>964</v>
      </c>
      <c r="B965" t="s">
        <v>1390</v>
      </c>
      <c r="C965">
        <v>9980990</v>
      </c>
      <c r="D965" t="s">
        <v>114</v>
      </c>
      <c r="E965">
        <v>34</v>
      </c>
      <c r="F965" t="s">
        <v>76</v>
      </c>
      <c r="G965" s="10">
        <v>45458</v>
      </c>
      <c r="H965" t="s">
        <v>42</v>
      </c>
      <c r="I965" t="s">
        <v>83</v>
      </c>
      <c r="J965" t="s">
        <v>47</v>
      </c>
      <c r="K965" t="s">
        <v>115</v>
      </c>
      <c r="L965" t="s">
        <v>56</v>
      </c>
      <c r="M965" t="s">
        <v>315</v>
      </c>
      <c r="N965">
        <v>24</v>
      </c>
      <c r="O965" t="s">
        <v>117</v>
      </c>
      <c r="P965" s="11">
        <v>6300</v>
      </c>
      <c r="Q965" t="s">
        <v>1391</v>
      </c>
      <c r="R965" s="11">
        <f t="shared" si="30"/>
        <v>0</v>
      </c>
      <c r="S965" t="str">
        <f t="shared" si="31"/>
        <v>One-Time</v>
      </c>
    </row>
    <row r="966" spans="1:19" ht="15" customHeight="1" x14ac:dyDescent="0.3">
      <c r="A966">
        <v>965</v>
      </c>
      <c r="B966" t="s">
        <v>1392</v>
      </c>
      <c r="C966">
        <v>2826022</v>
      </c>
      <c r="D966" t="s">
        <v>114</v>
      </c>
      <c r="E966">
        <v>41</v>
      </c>
      <c r="F966" t="s">
        <v>76</v>
      </c>
      <c r="G966" s="10">
        <v>45459</v>
      </c>
      <c r="H966" t="s">
        <v>42</v>
      </c>
      <c r="I966" t="s">
        <v>82</v>
      </c>
      <c r="J966" t="s">
        <v>47</v>
      </c>
      <c r="K966" t="s">
        <v>115</v>
      </c>
      <c r="L966" t="s">
        <v>56</v>
      </c>
      <c r="M966" t="s">
        <v>315</v>
      </c>
      <c r="N966">
        <v>56</v>
      </c>
      <c r="O966" t="s">
        <v>117</v>
      </c>
      <c r="P966" s="11">
        <v>6300</v>
      </c>
      <c r="Q966" t="s">
        <v>67</v>
      </c>
      <c r="R966" s="11">
        <f t="shared" si="30"/>
        <v>6300</v>
      </c>
      <c r="S966" t="str">
        <f t="shared" si="31"/>
        <v>One-Time</v>
      </c>
    </row>
    <row r="967" spans="1:19" ht="15" customHeight="1" x14ac:dyDescent="0.3">
      <c r="A967">
        <v>966</v>
      </c>
      <c r="B967" t="s">
        <v>1393</v>
      </c>
      <c r="C967">
        <v>9556007</v>
      </c>
      <c r="D967" t="s">
        <v>114</v>
      </c>
      <c r="E967">
        <v>21</v>
      </c>
      <c r="F967" t="s">
        <v>75</v>
      </c>
      <c r="G967" s="10">
        <v>45460</v>
      </c>
      <c r="H967" t="s">
        <v>42</v>
      </c>
      <c r="I967" t="s">
        <v>82</v>
      </c>
      <c r="J967" t="s">
        <v>47</v>
      </c>
      <c r="K967" t="s">
        <v>115</v>
      </c>
      <c r="L967" t="s">
        <v>56</v>
      </c>
      <c r="M967" t="s">
        <v>315</v>
      </c>
      <c r="N967">
        <v>55</v>
      </c>
      <c r="O967" t="s">
        <v>117</v>
      </c>
      <c r="P967" s="11">
        <v>6300</v>
      </c>
      <c r="Q967" t="s">
        <v>63</v>
      </c>
      <c r="R967" s="11">
        <f t="shared" si="30"/>
        <v>6300</v>
      </c>
      <c r="S967" t="str">
        <f t="shared" si="31"/>
        <v>One-Time</v>
      </c>
    </row>
    <row r="968" spans="1:19" ht="15" customHeight="1" x14ac:dyDescent="0.3">
      <c r="A968">
        <v>967</v>
      </c>
      <c r="B968" t="s">
        <v>1394</v>
      </c>
      <c r="C968">
        <v>7910008</v>
      </c>
      <c r="D968" t="s">
        <v>114</v>
      </c>
      <c r="E968">
        <v>25</v>
      </c>
      <c r="F968" t="s">
        <v>75</v>
      </c>
      <c r="G968" s="10">
        <v>45461</v>
      </c>
      <c r="H968" t="s">
        <v>42</v>
      </c>
      <c r="I968" t="s">
        <v>82</v>
      </c>
      <c r="J968" t="s">
        <v>47</v>
      </c>
      <c r="K968" t="s">
        <v>115</v>
      </c>
      <c r="L968" t="s">
        <v>60</v>
      </c>
      <c r="M968" t="s">
        <v>315</v>
      </c>
      <c r="N968">
        <v>5</v>
      </c>
      <c r="O968" t="s">
        <v>117</v>
      </c>
      <c r="P968" s="11">
        <v>6300</v>
      </c>
      <c r="Q968" t="s">
        <v>68</v>
      </c>
      <c r="R968" s="11">
        <f t="shared" si="30"/>
        <v>6300</v>
      </c>
      <c r="S968" t="str">
        <f t="shared" si="31"/>
        <v>One-Time</v>
      </c>
    </row>
    <row r="969" spans="1:19" ht="15" customHeight="1" x14ac:dyDescent="0.3">
      <c r="A969">
        <v>968</v>
      </c>
      <c r="B969" t="s">
        <v>1395</v>
      </c>
      <c r="C969">
        <v>3401875</v>
      </c>
      <c r="D969" t="s">
        <v>114</v>
      </c>
      <c r="E969">
        <v>19</v>
      </c>
      <c r="F969" t="s">
        <v>75</v>
      </c>
      <c r="G969" s="10">
        <v>45462</v>
      </c>
      <c r="H969" t="s">
        <v>42</v>
      </c>
      <c r="I969" t="s">
        <v>82</v>
      </c>
      <c r="J969" t="s">
        <v>47</v>
      </c>
      <c r="K969" t="s">
        <v>115</v>
      </c>
      <c r="L969" t="s">
        <v>60</v>
      </c>
      <c r="M969" t="s">
        <v>315</v>
      </c>
      <c r="N969">
        <v>4</v>
      </c>
      <c r="O969" t="s">
        <v>117</v>
      </c>
      <c r="P969" s="11">
        <v>6300</v>
      </c>
      <c r="Q969" t="s">
        <v>524</v>
      </c>
      <c r="R969" s="11">
        <f t="shared" si="30"/>
        <v>6300</v>
      </c>
      <c r="S969" t="str">
        <f t="shared" si="31"/>
        <v>One-Time</v>
      </c>
    </row>
    <row r="970" spans="1:19" ht="15" customHeight="1" x14ac:dyDescent="0.3">
      <c r="A970">
        <v>969</v>
      </c>
      <c r="B970" t="s">
        <v>1396</v>
      </c>
      <c r="C970">
        <v>9281615</v>
      </c>
      <c r="D970" t="s">
        <v>114</v>
      </c>
      <c r="E970">
        <v>52</v>
      </c>
      <c r="F970" t="s">
        <v>77</v>
      </c>
      <c r="G970" s="10">
        <v>45463</v>
      </c>
      <c r="H970" t="s">
        <v>42</v>
      </c>
      <c r="I970" t="s">
        <v>82</v>
      </c>
      <c r="J970" t="s">
        <v>47</v>
      </c>
      <c r="K970" t="s">
        <v>115</v>
      </c>
      <c r="L970" t="s">
        <v>60</v>
      </c>
      <c r="M970" t="s">
        <v>315</v>
      </c>
      <c r="N970">
        <v>8</v>
      </c>
      <c r="O970" t="s">
        <v>117</v>
      </c>
      <c r="P970" s="11">
        <v>6300</v>
      </c>
      <c r="Q970" t="s">
        <v>147</v>
      </c>
      <c r="R970" s="11">
        <f t="shared" si="30"/>
        <v>6300</v>
      </c>
      <c r="S970" t="str">
        <f t="shared" si="31"/>
        <v>One-Time</v>
      </c>
    </row>
    <row r="971" spans="1:19" ht="15" customHeight="1" x14ac:dyDescent="0.3">
      <c r="A971">
        <v>970</v>
      </c>
      <c r="B971" t="s">
        <v>1397</v>
      </c>
      <c r="C971">
        <v>2556651</v>
      </c>
      <c r="D971" t="s">
        <v>114</v>
      </c>
      <c r="E971">
        <v>43</v>
      </c>
      <c r="F971" t="s">
        <v>76</v>
      </c>
      <c r="G971" s="10">
        <v>45464</v>
      </c>
      <c r="H971" t="s">
        <v>42</v>
      </c>
      <c r="I971" t="s">
        <v>82</v>
      </c>
      <c r="J971" t="s">
        <v>47</v>
      </c>
      <c r="K971" t="s">
        <v>115</v>
      </c>
      <c r="L971" t="s">
        <v>60</v>
      </c>
      <c r="M971" t="s">
        <v>315</v>
      </c>
      <c r="N971">
        <v>7</v>
      </c>
      <c r="O971" t="s">
        <v>117</v>
      </c>
      <c r="P971" s="11">
        <v>6300</v>
      </c>
      <c r="Q971" t="s">
        <v>294</v>
      </c>
      <c r="R971" s="11">
        <f t="shared" si="30"/>
        <v>6300</v>
      </c>
      <c r="S971" t="str">
        <f t="shared" si="31"/>
        <v>One-Time</v>
      </c>
    </row>
    <row r="972" spans="1:19" ht="15" customHeight="1" x14ac:dyDescent="0.3">
      <c r="A972">
        <v>971</v>
      </c>
      <c r="B972" t="s">
        <v>1398</v>
      </c>
      <c r="C972">
        <v>6980134</v>
      </c>
      <c r="D972" t="s">
        <v>114</v>
      </c>
      <c r="E972">
        <v>39</v>
      </c>
      <c r="F972" t="s">
        <v>76</v>
      </c>
      <c r="G972" s="10">
        <v>45465</v>
      </c>
      <c r="H972" t="s">
        <v>42</v>
      </c>
      <c r="I972" t="s">
        <v>82</v>
      </c>
      <c r="J972" t="s">
        <v>47</v>
      </c>
      <c r="K972" t="s">
        <v>115</v>
      </c>
      <c r="L972" t="s">
        <v>60</v>
      </c>
      <c r="M972" t="s">
        <v>315</v>
      </c>
      <c r="N972">
        <v>9</v>
      </c>
      <c r="O972" t="s">
        <v>117</v>
      </c>
      <c r="P972" s="11">
        <v>6300</v>
      </c>
      <c r="Q972" t="s">
        <v>64</v>
      </c>
      <c r="R972" s="11">
        <f t="shared" si="30"/>
        <v>6300</v>
      </c>
      <c r="S972" t="str">
        <f t="shared" si="31"/>
        <v>One-Time</v>
      </c>
    </row>
    <row r="973" spans="1:19" ht="15" customHeight="1" x14ac:dyDescent="0.3">
      <c r="A973">
        <v>972</v>
      </c>
      <c r="B973" t="s">
        <v>1399</v>
      </c>
      <c r="C973">
        <v>7043825</v>
      </c>
      <c r="D973" t="s">
        <v>114</v>
      </c>
      <c r="E973">
        <v>21</v>
      </c>
      <c r="F973" t="s">
        <v>75</v>
      </c>
      <c r="G973" s="10">
        <v>45466</v>
      </c>
      <c r="H973" t="s">
        <v>42</v>
      </c>
      <c r="I973" t="s">
        <v>82</v>
      </c>
      <c r="J973" t="s">
        <v>47</v>
      </c>
      <c r="K973" t="s">
        <v>115</v>
      </c>
      <c r="L973" t="s">
        <v>60</v>
      </c>
      <c r="M973" t="s">
        <v>315</v>
      </c>
      <c r="N973">
        <v>3</v>
      </c>
      <c r="O973" t="s">
        <v>117</v>
      </c>
      <c r="P973" s="11">
        <v>6300</v>
      </c>
      <c r="Q973" t="s">
        <v>63</v>
      </c>
      <c r="R973" s="11">
        <f t="shared" si="30"/>
        <v>6300</v>
      </c>
      <c r="S973" t="str">
        <f t="shared" si="31"/>
        <v>One-Time</v>
      </c>
    </row>
    <row r="974" spans="1:19" ht="15" customHeight="1" x14ac:dyDescent="0.3">
      <c r="A974">
        <v>973</v>
      </c>
      <c r="B974" t="s">
        <v>1400</v>
      </c>
      <c r="C974">
        <v>9943161</v>
      </c>
      <c r="D974" t="s">
        <v>114</v>
      </c>
      <c r="E974">
        <v>43</v>
      </c>
      <c r="F974" t="s">
        <v>76</v>
      </c>
      <c r="G974" s="10">
        <v>45467</v>
      </c>
      <c r="H974" t="s">
        <v>42</v>
      </c>
      <c r="I974" t="s">
        <v>82</v>
      </c>
      <c r="J974" t="s">
        <v>47</v>
      </c>
      <c r="K974" t="s">
        <v>115</v>
      </c>
      <c r="L974" t="s">
        <v>60</v>
      </c>
      <c r="M974" t="s">
        <v>315</v>
      </c>
      <c r="N974">
        <v>32</v>
      </c>
      <c r="O974" t="s">
        <v>117</v>
      </c>
      <c r="P974" s="11">
        <v>6300</v>
      </c>
      <c r="Q974" t="s">
        <v>64</v>
      </c>
      <c r="R974" s="11">
        <f t="shared" si="30"/>
        <v>6300</v>
      </c>
      <c r="S974" t="str">
        <f t="shared" si="31"/>
        <v>One-Time</v>
      </c>
    </row>
    <row r="975" spans="1:19" ht="15" customHeight="1" x14ac:dyDescent="0.3">
      <c r="A975">
        <v>974</v>
      </c>
      <c r="B975" t="s">
        <v>1401</v>
      </c>
      <c r="C975">
        <v>6161501</v>
      </c>
      <c r="D975" t="s">
        <v>114</v>
      </c>
      <c r="E975">
        <v>41</v>
      </c>
      <c r="F975" t="s">
        <v>76</v>
      </c>
      <c r="G975" s="10">
        <v>45468</v>
      </c>
      <c r="H975" t="s">
        <v>42</v>
      </c>
      <c r="I975" t="s">
        <v>82</v>
      </c>
      <c r="J975" t="s">
        <v>47</v>
      </c>
      <c r="K975" t="s">
        <v>115</v>
      </c>
      <c r="L975" t="s">
        <v>60</v>
      </c>
      <c r="M975" t="s">
        <v>315</v>
      </c>
      <c r="N975">
        <v>65</v>
      </c>
      <c r="O975" t="s">
        <v>117</v>
      </c>
      <c r="P975" s="11">
        <v>6300</v>
      </c>
      <c r="Q975" t="s">
        <v>1402</v>
      </c>
      <c r="R975" s="11">
        <f t="shared" si="30"/>
        <v>6300</v>
      </c>
      <c r="S975" t="str">
        <f t="shared" si="31"/>
        <v>One-Time</v>
      </c>
    </row>
    <row r="976" spans="1:19" ht="15" customHeight="1" x14ac:dyDescent="0.3">
      <c r="A976">
        <v>975</v>
      </c>
      <c r="B976" t="s">
        <v>1403</v>
      </c>
      <c r="C976">
        <v>1800054</v>
      </c>
      <c r="D976" t="s">
        <v>114</v>
      </c>
      <c r="E976">
        <v>27</v>
      </c>
      <c r="F976" t="s">
        <v>75</v>
      </c>
      <c r="G976" s="10">
        <v>45469</v>
      </c>
      <c r="H976" t="s">
        <v>42</v>
      </c>
      <c r="I976" t="s">
        <v>82</v>
      </c>
      <c r="J976" t="s">
        <v>47</v>
      </c>
      <c r="K976" t="s">
        <v>115</v>
      </c>
      <c r="L976" t="s">
        <v>60</v>
      </c>
      <c r="M976" t="s">
        <v>315</v>
      </c>
      <c r="N976">
        <v>4</v>
      </c>
      <c r="O976" t="s">
        <v>117</v>
      </c>
      <c r="P976" s="11">
        <v>6300</v>
      </c>
      <c r="Q976" t="s">
        <v>1270</v>
      </c>
      <c r="R976" s="11">
        <f t="shared" si="30"/>
        <v>6300</v>
      </c>
      <c r="S976" t="str">
        <f t="shared" si="31"/>
        <v>One-Time</v>
      </c>
    </row>
    <row r="977" spans="1:19" ht="15" customHeight="1" x14ac:dyDescent="0.3">
      <c r="A977">
        <v>976</v>
      </c>
      <c r="B977" t="s">
        <v>1404</v>
      </c>
      <c r="C977">
        <v>3817375</v>
      </c>
      <c r="D977" t="s">
        <v>114</v>
      </c>
      <c r="E977">
        <v>22</v>
      </c>
      <c r="F977" t="s">
        <v>75</v>
      </c>
      <c r="G977" s="10">
        <v>45470</v>
      </c>
      <c r="H977" t="s">
        <v>42</v>
      </c>
      <c r="I977" t="s">
        <v>82</v>
      </c>
      <c r="J977" t="s">
        <v>47</v>
      </c>
      <c r="K977" t="s">
        <v>115</v>
      </c>
      <c r="L977" t="s">
        <v>60</v>
      </c>
      <c r="M977" t="s">
        <v>122</v>
      </c>
      <c r="N977">
        <v>1</v>
      </c>
      <c r="O977" t="s">
        <v>117</v>
      </c>
      <c r="P977" s="11">
        <v>6300</v>
      </c>
      <c r="Q977" t="s">
        <v>1405</v>
      </c>
      <c r="R977" s="11">
        <f t="shared" si="30"/>
        <v>6300</v>
      </c>
      <c r="S977" t="str">
        <f t="shared" si="31"/>
        <v>One-Time</v>
      </c>
    </row>
    <row r="978" spans="1:19" ht="15" customHeight="1" x14ac:dyDescent="0.3">
      <c r="A978">
        <v>977</v>
      </c>
      <c r="B978" t="s">
        <v>1406</v>
      </c>
      <c r="C978">
        <v>8094337</v>
      </c>
      <c r="D978" t="s">
        <v>114</v>
      </c>
      <c r="E978">
        <v>57</v>
      </c>
      <c r="F978" t="s">
        <v>77</v>
      </c>
      <c r="G978" s="10">
        <v>45471</v>
      </c>
      <c r="H978" t="s">
        <v>42</v>
      </c>
      <c r="I978" t="s">
        <v>82</v>
      </c>
      <c r="J978" t="s">
        <v>47</v>
      </c>
      <c r="K978" t="s">
        <v>115</v>
      </c>
      <c r="L978" t="s">
        <v>60</v>
      </c>
      <c r="M978" t="s">
        <v>122</v>
      </c>
      <c r="N978">
        <v>47</v>
      </c>
      <c r="O978" t="s">
        <v>117</v>
      </c>
      <c r="P978" s="11">
        <v>6600</v>
      </c>
      <c r="Q978" t="s">
        <v>1407</v>
      </c>
      <c r="R978" s="11">
        <f t="shared" si="30"/>
        <v>6600</v>
      </c>
      <c r="S978" t="str">
        <f t="shared" si="31"/>
        <v>One-Time</v>
      </c>
    </row>
    <row r="979" spans="1:19" ht="15" customHeight="1" x14ac:dyDescent="0.3">
      <c r="A979">
        <v>978</v>
      </c>
      <c r="B979" t="s">
        <v>1408</v>
      </c>
      <c r="C979">
        <v>409481</v>
      </c>
      <c r="D979" t="s">
        <v>114</v>
      </c>
      <c r="E979">
        <v>32</v>
      </c>
      <c r="F979" t="s">
        <v>76</v>
      </c>
      <c r="G979" s="10">
        <v>45472</v>
      </c>
      <c r="H979" t="s">
        <v>42</v>
      </c>
      <c r="I979" t="s">
        <v>82</v>
      </c>
      <c r="J979" t="s">
        <v>47</v>
      </c>
      <c r="K979" t="s">
        <v>115</v>
      </c>
      <c r="L979" t="s">
        <v>60</v>
      </c>
      <c r="M979" t="s">
        <v>122</v>
      </c>
      <c r="N979">
        <v>9</v>
      </c>
      <c r="O979" t="s">
        <v>117</v>
      </c>
      <c r="P979" s="11">
        <v>6600</v>
      </c>
      <c r="Q979" t="s">
        <v>1409</v>
      </c>
      <c r="R979" s="11">
        <f t="shared" si="30"/>
        <v>6600</v>
      </c>
      <c r="S979" t="str">
        <f t="shared" si="31"/>
        <v>One-Time</v>
      </c>
    </row>
    <row r="980" spans="1:19" ht="15" customHeight="1" x14ac:dyDescent="0.3">
      <c r="A980">
        <v>979</v>
      </c>
      <c r="B980" t="s">
        <v>1410</v>
      </c>
      <c r="C980">
        <v>5631828</v>
      </c>
      <c r="D980" t="s">
        <v>114</v>
      </c>
      <c r="E980">
        <v>44</v>
      </c>
      <c r="F980" t="s">
        <v>76</v>
      </c>
      <c r="G980" s="10">
        <v>45473</v>
      </c>
      <c r="H980" t="s">
        <v>42</v>
      </c>
      <c r="I980" t="s">
        <v>82</v>
      </c>
      <c r="J980" t="s">
        <v>47</v>
      </c>
      <c r="K980" t="s">
        <v>115</v>
      </c>
      <c r="L980" t="s">
        <v>60</v>
      </c>
      <c r="M980" t="s">
        <v>122</v>
      </c>
      <c r="N980">
        <v>7</v>
      </c>
      <c r="O980" t="s">
        <v>117</v>
      </c>
      <c r="P980" s="11">
        <v>6600</v>
      </c>
      <c r="Q980" t="s">
        <v>1411</v>
      </c>
      <c r="R980" s="11">
        <f t="shared" si="30"/>
        <v>6600</v>
      </c>
      <c r="S980" t="str">
        <f t="shared" si="31"/>
        <v>One-Time</v>
      </c>
    </row>
    <row r="981" spans="1:19" ht="15" customHeight="1" x14ac:dyDescent="0.3">
      <c r="A981">
        <v>980</v>
      </c>
      <c r="B981" t="s">
        <v>1412</v>
      </c>
      <c r="C981">
        <v>4300105</v>
      </c>
      <c r="D981" t="s">
        <v>114</v>
      </c>
      <c r="E981">
        <v>54</v>
      </c>
      <c r="F981" t="s">
        <v>77</v>
      </c>
      <c r="G981" s="10">
        <v>45474</v>
      </c>
      <c r="H981" t="s">
        <v>43</v>
      </c>
      <c r="I981" t="s">
        <v>82</v>
      </c>
      <c r="J981" t="s">
        <v>47</v>
      </c>
      <c r="K981" t="s">
        <v>115</v>
      </c>
      <c r="L981" t="s">
        <v>60</v>
      </c>
      <c r="M981" t="s">
        <v>122</v>
      </c>
      <c r="N981">
        <v>6</v>
      </c>
      <c r="O981" t="s">
        <v>117</v>
      </c>
      <c r="P981" s="11">
        <v>6600</v>
      </c>
      <c r="Q981" t="s">
        <v>218</v>
      </c>
      <c r="R981" s="11">
        <f t="shared" si="30"/>
        <v>6600</v>
      </c>
      <c r="S981" t="str">
        <f t="shared" si="31"/>
        <v>One-Time</v>
      </c>
    </row>
    <row r="982" spans="1:19" ht="15" customHeight="1" x14ac:dyDescent="0.3">
      <c r="A982">
        <v>981</v>
      </c>
      <c r="B982" t="s">
        <v>1413</v>
      </c>
      <c r="C982">
        <v>2276792</v>
      </c>
      <c r="D982" t="s">
        <v>114</v>
      </c>
      <c r="E982">
        <v>77</v>
      </c>
      <c r="F982" t="s">
        <v>77</v>
      </c>
      <c r="G982" s="10">
        <v>45475</v>
      </c>
      <c r="H982" t="s">
        <v>43</v>
      </c>
      <c r="I982" t="s">
        <v>82</v>
      </c>
      <c r="J982" t="s">
        <v>47</v>
      </c>
      <c r="K982" t="s">
        <v>115</v>
      </c>
      <c r="L982" t="s">
        <v>60</v>
      </c>
      <c r="M982" t="s">
        <v>122</v>
      </c>
      <c r="N982">
        <v>2</v>
      </c>
      <c r="O982" t="s">
        <v>117</v>
      </c>
      <c r="P982" s="11">
        <v>6500</v>
      </c>
      <c r="Q982" t="s">
        <v>542</v>
      </c>
      <c r="R982" s="11">
        <f t="shared" si="30"/>
        <v>6500</v>
      </c>
      <c r="S982" t="str">
        <f t="shared" si="31"/>
        <v>One-Time</v>
      </c>
    </row>
    <row r="983" spans="1:19" ht="15" customHeight="1" x14ac:dyDescent="0.3">
      <c r="A983">
        <v>982</v>
      </c>
      <c r="B983" t="s">
        <v>1414</v>
      </c>
      <c r="C983">
        <v>5665972</v>
      </c>
      <c r="D983" t="s">
        <v>114</v>
      </c>
      <c r="E983">
        <v>22</v>
      </c>
      <c r="F983" t="s">
        <v>75</v>
      </c>
      <c r="G983" s="10">
        <v>45476</v>
      </c>
      <c r="H983" t="s">
        <v>43</v>
      </c>
      <c r="I983" t="s">
        <v>82</v>
      </c>
      <c r="J983" t="s">
        <v>47</v>
      </c>
      <c r="K983" t="s">
        <v>115</v>
      </c>
      <c r="L983" t="s">
        <v>60</v>
      </c>
      <c r="M983" t="s">
        <v>122</v>
      </c>
      <c r="N983">
        <v>8</v>
      </c>
      <c r="O983" t="s">
        <v>117</v>
      </c>
      <c r="P983" s="11">
        <v>6500</v>
      </c>
      <c r="Q983" t="s">
        <v>881</v>
      </c>
      <c r="R983" s="11">
        <f t="shared" si="30"/>
        <v>6500</v>
      </c>
      <c r="S983" t="str">
        <f t="shared" si="31"/>
        <v>One-Time</v>
      </c>
    </row>
    <row r="984" spans="1:19" ht="15" customHeight="1" x14ac:dyDescent="0.3">
      <c r="A984">
        <v>983</v>
      </c>
      <c r="B984" t="s">
        <v>1415</v>
      </c>
      <c r="C984">
        <v>9452126</v>
      </c>
      <c r="D984" t="s">
        <v>114</v>
      </c>
      <c r="E984">
        <v>21</v>
      </c>
      <c r="F984" t="s">
        <v>75</v>
      </c>
      <c r="G984" s="10">
        <v>45477</v>
      </c>
      <c r="H984" t="s">
        <v>43</v>
      </c>
      <c r="I984" t="s">
        <v>82</v>
      </c>
      <c r="J984" t="s">
        <v>47</v>
      </c>
      <c r="K984" t="s">
        <v>138</v>
      </c>
      <c r="L984" t="s">
        <v>60</v>
      </c>
      <c r="M984" t="s">
        <v>122</v>
      </c>
      <c r="N984">
        <v>4</v>
      </c>
      <c r="O984" t="s">
        <v>117</v>
      </c>
      <c r="P984" s="11">
        <v>6500</v>
      </c>
      <c r="Q984" t="s">
        <v>160</v>
      </c>
      <c r="R984" s="11">
        <f t="shared" si="30"/>
        <v>6500</v>
      </c>
      <c r="S984" t="str">
        <f t="shared" si="31"/>
        <v>One-Time</v>
      </c>
    </row>
    <row r="985" spans="1:19" ht="15" customHeight="1" x14ac:dyDescent="0.3">
      <c r="A985">
        <v>984</v>
      </c>
      <c r="B985" t="s">
        <v>1416</v>
      </c>
      <c r="C985">
        <v>103546</v>
      </c>
      <c r="D985" t="s">
        <v>114</v>
      </c>
      <c r="E985">
        <v>47</v>
      </c>
      <c r="F985" t="s">
        <v>76</v>
      </c>
      <c r="G985" s="10">
        <v>45478</v>
      </c>
      <c r="H985" t="s">
        <v>43</v>
      </c>
      <c r="I985" t="s">
        <v>82</v>
      </c>
      <c r="J985" t="s">
        <v>47</v>
      </c>
      <c r="K985" t="s">
        <v>138</v>
      </c>
      <c r="L985" t="s">
        <v>60</v>
      </c>
      <c r="M985" t="s">
        <v>122</v>
      </c>
      <c r="N985">
        <v>6</v>
      </c>
      <c r="O985" t="s">
        <v>117</v>
      </c>
      <c r="P985" s="11">
        <v>6500</v>
      </c>
      <c r="Q985" t="s">
        <v>145</v>
      </c>
      <c r="R985" s="11">
        <f t="shared" si="30"/>
        <v>6500</v>
      </c>
      <c r="S985" t="str">
        <f t="shared" si="31"/>
        <v>One-Time</v>
      </c>
    </row>
    <row r="986" spans="1:19" ht="15" customHeight="1" x14ac:dyDescent="0.3">
      <c r="A986">
        <v>985</v>
      </c>
      <c r="B986" t="s">
        <v>1417</v>
      </c>
      <c r="C986">
        <v>2218153</v>
      </c>
      <c r="D986" t="s">
        <v>114</v>
      </c>
      <c r="E986">
        <v>44</v>
      </c>
      <c r="F986" t="s">
        <v>76</v>
      </c>
      <c r="G986" s="10">
        <v>45479</v>
      </c>
      <c r="H986" t="s">
        <v>43</v>
      </c>
      <c r="I986" t="s">
        <v>82</v>
      </c>
      <c r="J986" t="s">
        <v>47</v>
      </c>
      <c r="K986" t="s">
        <v>138</v>
      </c>
      <c r="L986" t="s">
        <v>60</v>
      </c>
      <c r="M986" t="s">
        <v>122</v>
      </c>
      <c r="N986">
        <v>5</v>
      </c>
      <c r="O986" t="s">
        <v>117</v>
      </c>
      <c r="P986" s="11">
        <v>6500</v>
      </c>
      <c r="Q986" t="s">
        <v>1418</v>
      </c>
      <c r="R986" s="11">
        <f t="shared" si="30"/>
        <v>6500</v>
      </c>
      <c r="S986" t="str">
        <f t="shared" si="31"/>
        <v>One-Time</v>
      </c>
    </row>
    <row r="987" spans="1:19" ht="15" customHeight="1" x14ac:dyDescent="0.3">
      <c r="A987">
        <v>986</v>
      </c>
      <c r="B987" t="s">
        <v>1419</v>
      </c>
      <c r="C987">
        <v>7470771</v>
      </c>
      <c r="D987" t="s">
        <v>114</v>
      </c>
      <c r="E987">
        <v>36</v>
      </c>
      <c r="F987" t="s">
        <v>76</v>
      </c>
      <c r="G987" s="10">
        <v>45480</v>
      </c>
      <c r="H987" t="s">
        <v>43</v>
      </c>
      <c r="I987" t="s">
        <v>82</v>
      </c>
      <c r="J987" t="s">
        <v>47</v>
      </c>
      <c r="K987" t="s">
        <v>138</v>
      </c>
      <c r="L987" t="s">
        <v>60</v>
      </c>
      <c r="M987" t="s">
        <v>122</v>
      </c>
      <c r="N987">
        <v>23</v>
      </c>
      <c r="O987" t="s">
        <v>117</v>
      </c>
      <c r="P987" s="11">
        <v>6500</v>
      </c>
      <c r="Q987" t="s">
        <v>62</v>
      </c>
      <c r="R987" s="11">
        <f t="shared" si="30"/>
        <v>6500</v>
      </c>
      <c r="S987" t="str">
        <f t="shared" si="31"/>
        <v>One-Time</v>
      </c>
    </row>
    <row r="988" spans="1:19" ht="15" customHeight="1" x14ac:dyDescent="0.3">
      <c r="A988">
        <v>987</v>
      </c>
      <c r="B988" t="s">
        <v>1420</v>
      </c>
      <c r="C988">
        <v>8008371</v>
      </c>
      <c r="D988" t="s">
        <v>114</v>
      </c>
      <c r="E988">
        <v>63</v>
      </c>
      <c r="F988" t="s">
        <v>77</v>
      </c>
      <c r="G988" s="10">
        <v>45481</v>
      </c>
      <c r="H988" t="s">
        <v>43</v>
      </c>
      <c r="I988" t="s">
        <v>82</v>
      </c>
      <c r="J988" t="s">
        <v>47</v>
      </c>
      <c r="K988" t="s">
        <v>138</v>
      </c>
      <c r="L988" t="s">
        <v>60</v>
      </c>
      <c r="M988" t="s">
        <v>122</v>
      </c>
      <c r="N988">
        <v>2</v>
      </c>
      <c r="O988" t="s">
        <v>117</v>
      </c>
      <c r="P988" s="11">
        <v>6500</v>
      </c>
      <c r="Q988" t="s">
        <v>66</v>
      </c>
      <c r="R988" s="11">
        <f t="shared" si="30"/>
        <v>6500</v>
      </c>
      <c r="S988" t="str">
        <f t="shared" si="31"/>
        <v>One-Time</v>
      </c>
    </row>
    <row r="989" spans="1:19" ht="15" customHeight="1" x14ac:dyDescent="0.3">
      <c r="A989">
        <v>988</v>
      </c>
      <c r="B989" t="s">
        <v>1421</v>
      </c>
      <c r="C989">
        <v>5525005</v>
      </c>
      <c r="D989" t="s">
        <v>114</v>
      </c>
      <c r="E989">
        <v>44</v>
      </c>
      <c r="F989" t="s">
        <v>76</v>
      </c>
      <c r="G989" s="10">
        <v>45482</v>
      </c>
      <c r="H989" t="s">
        <v>43</v>
      </c>
      <c r="I989" t="s">
        <v>82</v>
      </c>
      <c r="J989" t="s">
        <v>47</v>
      </c>
      <c r="K989" t="s">
        <v>138</v>
      </c>
      <c r="L989" t="s">
        <v>60</v>
      </c>
      <c r="M989" t="s">
        <v>122</v>
      </c>
      <c r="N989">
        <v>5</v>
      </c>
      <c r="O989" t="s">
        <v>117</v>
      </c>
      <c r="P989" s="11">
        <v>7500</v>
      </c>
      <c r="Q989" t="s">
        <v>63</v>
      </c>
      <c r="R989" s="11">
        <f t="shared" si="30"/>
        <v>7500</v>
      </c>
      <c r="S989" t="str">
        <f t="shared" si="31"/>
        <v>One-Time</v>
      </c>
    </row>
    <row r="990" spans="1:19" ht="15" customHeight="1" x14ac:dyDescent="0.3">
      <c r="A990">
        <v>989</v>
      </c>
      <c r="B990" t="s">
        <v>1422</v>
      </c>
      <c r="C990">
        <v>6713711</v>
      </c>
      <c r="D990" t="s">
        <v>114</v>
      </c>
      <c r="E990">
        <v>26</v>
      </c>
      <c r="F990" t="s">
        <v>75</v>
      </c>
      <c r="G990" s="10">
        <v>45483</v>
      </c>
      <c r="H990" t="s">
        <v>43</v>
      </c>
      <c r="I990" t="s">
        <v>82</v>
      </c>
      <c r="J990" t="s">
        <v>47</v>
      </c>
      <c r="K990" t="s">
        <v>138</v>
      </c>
      <c r="L990" t="s">
        <v>60</v>
      </c>
      <c r="M990" t="s">
        <v>122</v>
      </c>
      <c r="N990">
        <v>9</v>
      </c>
      <c r="O990" t="s">
        <v>117</v>
      </c>
      <c r="P990" s="11">
        <v>7500</v>
      </c>
      <c r="Q990" t="s">
        <v>1423</v>
      </c>
      <c r="R990" s="11">
        <f t="shared" si="30"/>
        <v>7500</v>
      </c>
      <c r="S990" t="str">
        <f t="shared" si="31"/>
        <v>One-Time</v>
      </c>
    </row>
    <row r="991" spans="1:19" ht="15" customHeight="1" x14ac:dyDescent="0.3">
      <c r="A991">
        <v>990</v>
      </c>
      <c r="B991" t="s">
        <v>1424</v>
      </c>
      <c r="C991">
        <v>3459640</v>
      </c>
      <c r="D991" t="s">
        <v>114</v>
      </c>
      <c r="E991">
        <v>22</v>
      </c>
      <c r="F991" t="s">
        <v>75</v>
      </c>
      <c r="G991" s="10">
        <v>45484</v>
      </c>
      <c r="H991" t="s">
        <v>43</v>
      </c>
      <c r="I991" t="s">
        <v>82</v>
      </c>
      <c r="J991" t="s">
        <v>47</v>
      </c>
      <c r="K991" t="s">
        <v>138</v>
      </c>
      <c r="L991" t="s">
        <v>60</v>
      </c>
      <c r="M991" t="s">
        <v>122</v>
      </c>
      <c r="N991">
        <v>27</v>
      </c>
      <c r="O991" t="s">
        <v>117</v>
      </c>
      <c r="P991" s="11">
        <v>7500</v>
      </c>
      <c r="Q991" t="s">
        <v>409</v>
      </c>
      <c r="R991" s="11">
        <f t="shared" si="30"/>
        <v>7500</v>
      </c>
      <c r="S991" t="str">
        <f t="shared" si="31"/>
        <v>One-Time</v>
      </c>
    </row>
    <row r="992" spans="1:19" ht="15" customHeight="1" x14ac:dyDescent="0.3">
      <c r="A992">
        <v>991</v>
      </c>
      <c r="B992" t="s">
        <v>1425</v>
      </c>
      <c r="C992">
        <v>1139880</v>
      </c>
      <c r="D992" t="s">
        <v>114</v>
      </c>
      <c r="E992">
        <v>46</v>
      </c>
      <c r="F992" t="s">
        <v>76</v>
      </c>
      <c r="G992" s="10">
        <v>45485</v>
      </c>
      <c r="H992" t="s">
        <v>43</v>
      </c>
      <c r="I992" t="s">
        <v>82</v>
      </c>
      <c r="J992" t="s">
        <v>47</v>
      </c>
      <c r="K992" t="s">
        <v>138</v>
      </c>
      <c r="L992" t="s">
        <v>60</v>
      </c>
      <c r="M992" t="s">
        <v>122</v>
      </c>
      <c r="N992">
        <v>6</v>
      </c>
      <c r="O992" t="s">
        <v>117</v>
      </c>
      <c r="P992" s="11">
        <v>7500</v>
      </c>
      <c r="Q992" t="s">
        <v>1426</v>
      </c>
      <c r="R992" s="11">
        <f t="shared" si="30"/>
        <v>7500</v>
      </c>
      <c r="S992" t="str">
        <f t="shared" si="31"/>
        <v>One-Time</v>
      </c>
    </row>
    <row r="993" spans="1:19" ht="15" customHeight="1" x14ac:dyDescent="0.3">
      <c r="A993">
        <v>992</v>
      </c>
      <c r="B993" t="s">
        <v>1427</v>
      </c>
      <c r="C993">
        <v>2147768</v>
      </c>
      <c r="D993" t="s">
        <v>114</v>
      </c>
      <c r="E993">
        <v>24</v>
      </c>
      <c r="F993" t="s">
        <v>75</v>
      </c>
      <c r="G993" s="10">
        <v>45486</v>
      </c>
      <c r="H993" t="s">
        <v>43</v>
      </c>
      <c r="I993" t="s">
        <v>82</v>
      </c>
      <c r="J993" t="s">
        <v>47</v>
      </c>
      <c r="K993" t="s">
        <v>138</v>
      </c>
      <c r="L993" t="s">
        <v>60</v>
      </c>
      <c r="M993" t="s">
        <v>122</v>
      </c>
      <c r="N993">
        <v>6</v>
      </c>
      <c r="O993" t="s">
        <v>117</v>
      </c>
      <c r="P993" s="11">
        <v>7500</v>
      </c>
      <c r="Q993" t="s">
        <v>62</v>
      </c>
      <c r="R993" s="11">
        <f t="shared" si="30"/>
        <v>7500</v>
      </c>
      <c r="S993" t="str">
        <f t="shared" si="31"/>
        <v>One-Time</v>
      </c>
    </row>
    <row r="994" spans="1:19" ht="15" customHeight="1" x14ac:dyDescent="0.3">
      <c r="A994">
        <v>993</v>
      </c>
      <c r="B994" t="s">
        <v>1428</v>
      </c>
      <c r="C994">
        <v>1713962</v>
      </c>
      <c r="D994" t="s">
        <v>114</v>
      </c>
      <c r="E994">
        <v>32</v>
      </c>
      <c r="F994" t="s">
        <v>76</v>
      </c>
      <c r="G994" s="10">
        <v>45487</v>
      </c>
      <c r="H994" t="s">
        <v>43</v>
      </c>
      <c r="I994" t="s">
        <v>82</v>
      </c>
      <c r="J994" t="s">
        <v>47</v>
      </c>
      <c r="K994" t="s">
        <v>138</v>
      </c>
      <c r="L994" t="s">
        <v>60</v>
      </c>
      <c r="M994" t="s">
        <v>122</v>
      </c>
      <c r="N994">
        <v>2</v>
      </c>
      <c r="O994" t="s">
        <v>117</v>
      </c>
      <c r="P994" s="11">
        <v>7500</v>
      </c>
      <c r="Q994" t="s">
        <v>374</v>
      </c>
      <c r="R994" s="11">
        <f t="shared" si="30"/>
        <v>7500</v>
      </c>
      <c r="S994" t="str">
        <f t="shared" si="31"/>
        <v>One-Time</v>
      </c>
    </row>
    <row r="995" spans="1:19" ht="15" customHeight="1" x14ac:dyDescent="0.3">
      <c r="A995">
        <v>994</v>
      </c>
      <c r="B995" t="s">
        <v>1429</v>
      </c>
      <c r="C995">
        <v>2775921</v>
      </c>
      <c r="D995" t="s">
        <v>114</v>
      </c>
      <c r="E995">
        <v>32</v>
      </c>
      <c r="F995" t="s">
        <v>76</v>
      </c>
      <c r="G995" s="10">
        <v>45488</v>
      </c>
      <c r="H995" t="s">
        <v>43</v>
      </c>
      <c r="I995" t="s">
        <v>82</v>
      </c>
      <c r="J995" t="s">
        <v>47</v>
      </c>
      <c r="K995" t="s">
        <v>138</v>
      </c>
      <c r="L995" t="s">
        <v>60</v>
      </c>
      <c r="M995" t="s">
        <v>122</v>
      </c>
      <c r="N995">
        <v>32</v>
      </c>
      <c r="O995" t="s">
        <v>117</v>
      </c>
      <c r="P995" s="11">
        <v>7500</v>
      </c>
      <c r="Q995" t="s">
        <v>63</v>
      </c>
      <c r="R995" s="11">
        <f t="shared" si="30"/>
        <v>7500</v>
      </c>
      <c r="S995" t="str">
        <f t="shared" si="31"/>
        <v>One-Time</v>
      </c>
    </row>
    <row r="996" spans="1:19" ht="15" customHeight="1" x14ac:dyDescent="0.3">
      <c r="A996">
        <v>995</v>
      </c>
      <c r="B996" t="s">
        <v>1430</v>
      </c>
      <c r="C996">
        <v>6729877</v>
      </c>
      <c r="D996" t="s">
        <v>114</v>
      </c>
      <c r="E996">
        <v>72</v>
      </c>
      <c r="F996" t="s">
        <v>77</v>
      </c>
      <c r="G996" s="10">
        <v>45489</v>
      </c>
      <c r="H996" t="s">
        <v>43</v>
      </c>
      <c r="I996" t="s">
        <v>82</v>
      </c>
      <c r="J996" t="s">
        <v>47</v>
      </c>
      <c r="K996" t="s">
        <v>138</v>
      </c>
      <c r="L996" t="s">
        <v>60</v>
      </c>
      <c r="M996" t="s">
        <v>122</v>
      </c>
      <c r="N996">
        <v>3</v>
      </c>
      <c r="O996" t="s">
        <v>117</v>
      </c>
      <c r="P996" s="11">
        <v>7500</v>
      </c>
      <c r="Q996" t="s">
        <v>1431</v>
      </c>
      <c r="R996" s="11">
        <f t="shared" si="30"/>
        <v>7500</v>
      </c>
      <c r="S996" t="str">
        <f t="shared" si="31"/>
        <v>One-Time</v>
      </c>
    </row>
    <row r="997" spans="1:19" ht="15" customHeight="1" x14ac:dyDescent="0.3">
      <c r="A997">
        <v>996</v>
      </c>
      <c r="B997" t="s">
        <v>1432</v>
      </c>
      <c r="C997">
        <v>7452370</v>
      </c>
      <c r="D997" t="s">
        <v>114</v>
      </c>
      <c r="E997">
        <v>32</v>
      </c>
      <c r="F997" t="s">
        <v>76</v>
      </c>
      <c r="G997" s="10">
        <v>45490</v>
      </c>
      <c r="H997" t="s">
        <v>43</v>
      </c>
      <c r="I997" t="s">
        <v>82</v>
      </c>
      <c r="J997" t="s">
        <v>47</v>
      </c>
      <c r="K997" t="s">
        <v>138</v>
      </c>
      <c r="L997" t="s">
        <v>60</v>
      </c>
      <c r="M997" t="s">
        <v>122</v>
      </c>
      <c r="N997">
        <v>48</v>
      </c>
      <c r="O997" t="s">
        <v>117</v>
      </c>
      <c r="P997" s="11">
        <v>5800</v>
      </c>
      <c r="Q997" t="s">
        <v>1433</v>
      </c>
      <c r="R997" s="11">
        <f t="shared" si="30"/>
        <v>5800</v>
      </c>
      <c r="S997" t="str">
        <f t="shared" si="31"/>
        <v>One-Time</v>
      </c>
    </row>
    <row r="998" spans="1:19" ht="15" customHeight="1" x14ac:dyDescent="0.3">
      <c r="A998">
        <v>997</v>
      </c>
      <c r="B998" t="s">
        <v>1434</v>
      </c>
      <c r="C998">
        <v>4610802</v>
      </c>
      <c r="D998" t="s">
        <v>114</v>
      </c>
      <c r="E998">
        <v>31</v>
      </c>
      <c r="F998" t="s">
        <v>76</v>
      </c>
      <c r="G998" s="10">
        <v>45491</v>
      </c>
      <c r="H998" t="s">
        <v>43</v>
      </c>
      <c r="I998" t="s">
        <v>85</v>
      </c>
      <c r="J998" t="s">
        <v>47</v>
      </c>
      <c r="K998" t="s">
        <v>138</v>
      </c>
      <c r="L998" t="s">
        <v>60</v>
      </c>
      <c r="M998" t="s">
        <v>122</v>
      </c>
      <c r="N998">
        <v>5</v>
      </c>
      <c r="O998" t="s">
        <v>117</v>
      </c>
      <c r="P998" s="11">
        <v>5800</v>
      </c>
      <c r="Q998" t="s">
        <v>118</v>
      </c>
      <c r="R998" s="11">
        <f t="shared" si="30"/>
        <v>0</v>
      </c>
      <c r="S998" t="str">
        <f t="shared" si="31"/>
        <v>One-Time</v>
      </c>
    </row>
    <row r="999" spans="1:19" ht="15" customHeight="1" x14ac:dyDescent="0.3">
      <c r="A999">
        <v>998</v>
      </c>
      <c r="B999" t="s">
        <v>1435</v>
      </c>
      <c r="C999">
        <v>8201411</v>
      </c>
      <c r="D999" t="s">
        <v>114</v>
      </c>
      <c r="E999">
        <v>22</v>
      </c>
      <c r="F999" t="s">
        <v>75</v>
      </c>
      <c r="G999" s="10">
        <v>45492</v>
      </c>
      <c r="H999" t="s">
        <v>43</v>
      </c>
      <c r="I999" t="s">
        <v>82</v>
      </c>
      <c r="J999" t="s">
        <v>47</v>
      </c>
      <c r="K999" t="s">
        <v>138</v>
      </c>
      <c r="L999" t="s">
        <v>60</v>
      </c>
      <c r="M999" t="s">
        <v>122</v>
      </c>
      <c r="N999">
        <v>2</v>
      </c>
      <c r="O999" t="s">
        <v>117</v>
      </c>
      <c r="P999" s="11">
        <v>5800</v>
      </c>
      <c r="Q999" t="s">
        <v>544</v>
      </c>
      <c r="R999" s="11">
        <f t="shared" si="30"/>
        <v>5800</v>
      </c>
      <c r="S999" t="str">
        <f t="shared" si="31"/>
        <v>One-Time</v>
      </c>
    </row>
    <row r="1000" spans="1:19" ht="15" customHeight="1" x14ac:dyDescent="0.3">
      <c r="A1000">
        <v>999</v>
      </c>
      <c r="B1000" t="s">
        <v>1436</v>
      </c>
      <c r="C1000">
        <v>3221405</v>
      </c>
      <c r="D1000" t="s">
        <v>114</v>
      </c>
      <c r="E1000">
        <v>38</v>
      </c>
      <c r="F1000" t="s">
        <v>76</v>
      </c>
      <c r="G1000" s="10">
        <v>45493</v>
      </c>
      <c r="H1000" t="s">
        <v>43</v>
      </c>
      <c r="I1000" t="s">
        <v>82</v>
      </c>
      <c r="J1000" t="s">
        <v>47</v>
      </c>
      <c r="K1000" t="s">
        <v>184</v>
      </c>
      <c r="L1000" t="s">
        <v>60</v>
      </c>
      <c r="M1000" t="s">
        <v>122</v>
      </c>
      <c r="N1000">
        <v>9</v>
      </c>
      <c r="O1000" t="s">
        <v>117</v>
      </c>
      <c r="P1000" s="11">
        <v>5800</v>
      </c>
      <c r="Q1000" t="s">
        <v>64</v>
      </c>
      <c r="R1000" s="11">
        <f t="shared" si="30"/>
        <v>5800</v>
      </c>
      <c r="S1000" t="str">
        <f t="shared" si="31"/>
        <v>One-Time</v>
      </c>
    </row>
    <row r="1001" spans="1:19" ht="15" customHeight="1" x14ac:dyDescent="0.3">
      <c r="A1001">
        <v>1000</v>
      </c>
      <c r="B1001" t="s">
        <v>1437</v>
      </c>
      <c r="C1001">
        <v>2037089</v>
      </c>
      <c r="D1001" t="s">
        <v>114</v>
      </c>
      <c r="E1001">
        <v>26</v>
      </c>
      <c r="F1001" t="s">
        <v>75</v>
      </c>
      <c r="G1001" s="10">
        <v>45494</v>
      </c>
      <c r="H1001" t="s">
        <v>43</v>
      </c>
      <c r="I1001" t="s">
        <v>82</v>
      </c>
      <c r="J1001" t="s">
        <v>47</v>
      </c>
      <c r="K1001" t="s">
        <v>184</v>
      </c>
      <c r="L1001" t="s">
        <v>60</v>
      </c>
      <c r="M1001" t="s">
        <v>122</v>
      </c>
      <c r="N1001">
        <v>7</v>
      </c>
      <c r="O1001" t="s">
        <v>117</v>
      </c>
      <c r="P1001" s="11">
        <v>5800</v>
      </c>
      <c r="Q1001" t="s">
        <v>468</v>
      </c>
      <c r="R1001" s="11">
        <f t="shared" si="30"/>
        <v>5800</v>
      </c>
      <c r="S1001" t="str">
        <f t="shared" si="31"/>
        <v>One-Time</v>
      </c>
    </row>
    <row r="1002" spans="1:19" ht="15" customHeight="1" x14ac:dyDescent="0.3">
      <c r="A1002">
        <v>1001</v>
      </c>
      <c r="B1002" t="s">
        <v>1438</v>
      </c>
      <c r="C1002">
        <v>7557394</v>
      </c>
      <c r="D1002" t="s">
        <v>114</v>
      </c>
      <c r="E1002">
        <v>31</v>
      </c>
      <c r="F1002" t="s">
        <v>76</v>
      </c>
      <c r="G1002" s="10">
        <v>45495</v>
      </c>
      <c r="H1002" t="s">
        <v>43</v>
      </c>
      <c r="I1002" t="s">
        <v>82</v>
      </c>
      <c r="J1002" t="s">
        <v>47</v>
      </c>
      <c r="K1002" t="s">
        <v>184</v>
      </c>
      <c r="L1002" t="s">
        <v>60</v>
      </c>
      <c r="M1002" t="s">
        <v>122</v>
      </c>
      <c r="N1002">
        <v>2</v>
      </c>
      <c r="O1002" t="s">
        <v>117</v>
      </c>
      <c r="P1002" s="11">
        <v>5800</v>
      </c>
      <c r="Q1002" t="s">
        <v>1439</v>
      </c>
      <c r="R1002" s="11">
        <f t="shared" si="30"/>
        <v>5800</v>
      </c>
      <c r="S1002" t="str">
        <f t="shared" si="31"/>
        <v>One-Time</v>
      </c>
    </row>
    <row r="1003" spans="1:19" ht="15" customHeight="1" x14ac:dyDescent="0.3">
      <c r="A1003">
        <v>1002</v>
      </c>
      <c r="B1003" t="s">
        <v>1440</v>
      </c>
      <c r="C1003">
        <v>3323074</v>
      </c>
      <c r="D1003" t="s">
        <v>114</v>
      </c>
      <c r="E1003">
        <v>19</v>
      </c>
      <c r="F1003" t="s">
        <v>75</v>
      </c>
      <c r="G1003" s="10">
        <v>45496</v>
      </c>
      <c r="H1003" t="s">
        <v>43</v>
      </c>
      <c r="I1003" t="s">
        <v>82</v>
      </c>
      <c r="J1003" t="s">
        <v>47</v>
      </c>
      <c r="K1003" t="s">
        <v>184</v>
      </c>
      <c r="L1003" t="s">
        <v>60</v>
      </c>
      <c r="M1003" t="s">
        <v>122</v>
      </c>
      <c r="N1003">
        <v>8</v>
      </c>
      <c r="O1003" t="s">
        <v>117</v>
      </c>
      <c r="P1003" s="11">
        <v>5500</v>
      </c>
      <c r="Q1003" t="s">
        <v>155</v>
      </c>
      <c r="R1003" s="11">
        <f t="shared" si="30"/>
        <v>5500</v>
      </c>
      <c r="S1003" t="str">
        <f t="shared" si="31"/>
        <v>One-Time</v>
      </c>
    </row>
    <row r="1004" spans="1:19" ht="15" customHeight="1" x14ac:dyDescent="0.3">
      <c r="A1004">
        <v>1003</v>
      </c>
      <c r="B1004" t="s">
        <v>1441</v>
      </c>
      <c r="C1004">
        <v>102795</v>
      </c>
      <c r="D1004" t="s">
        <v>114</v>
      </c>
      <c r="E1004">
        <v>29</v>
      </c>
      <c r="F1004" t="s">
        <v>75</v>
      </c>
      <c r="G1004" s="10">
        <v>45497</v>
      </c>
      <c r="H1004" t="s">
        <v>43</v>
      </c>
      <c r="I1004" t="s">
        <v>82</v>
      </c>
      <c r="J1004" t="s">
        <v>47</v>
      </c>
      <c r="K1004" t="s">
        <v>184</v>
      </c>
      <c r="L1004" t="s">
        <v>60</v>
      </c>
      <c r="M1004" t="s">
        <v>122</v>
      </c>
      <c r="N1004">
        <v>4</v>
      </c>
      <c r="O1004" t="s">
        <v>117</v>
      </c>
      <c r="P1004" s="11">
        <v>5500</v>
      </c>
      <c r="Q1004" t="s">
        <v>542</v>
      </c>
      <c r="R1004" s="11">
        <f t="shared" si="30"/>
        <v>5500</v>
      </c>
      <c r="S1004" t="str">
        <f t="shared" si="31"/>
        <v>One-Time</v>
      </c>
    </row>
    <row r="1005" spans="1:19" ht="15" customHeight="1" x14ac:dyDescent="0.3">
      <c r="A1005">
        <v>1004</v>
      </c>
      <c r="B1005" t="s">
        <v>1442</v>
      </c>
      <c r="C1005">
        <v>3147509</v>
      </c>
      <c r="D1005" t="s">
        <v>114</v>
      </c>
      <c r="E1005">
        <v>37</v>
      </c>
      <c r="F1005" t="s">
        <v>76</v>
      </c>
      <c r="G1005" s="10">
        <v>45498</v>
      </c>
      <c r="H1005" t="s">
        <v>43</v>
      </c>
      <c r="I1005" t="s">
        <v>82</v>
      </c>
      <c r="J1005" t="s">
        <v>47</v>
      </c>
      <c r="K1005" t="s">
        <v>184</v>
      </c>
      <c r="L1005" t="s">
        <v>60</v>
      </c>
      <c r="M1005" t="s">
        <v>122</v>
      </c>
      <c r="N1005">
        <v>5</v>
      </c>
      <c r="O1005" t="s">
        <v>117</v>
      </c>
      <c r="P1005" s="11">
        <v>5500</v>
      </c>
      <c r="Q1005" t="s">
        <v>67</v>
      </c>
      <c r="R1005" s="11">
        <f t="shared" si="30"/>
        <v>5500</v>
      </c>
      <c r="S1005" t="str">
        <f t="shared" si="31"/>
        <v>One-Time</v>
      </c>
    </row>
    <row r="1006" spans="1:19" ht="15" customHeight="1" x14ac:dyDescent="0.3">
      <c r="A1006">
        <v>1005</v>
      </c>
      <c r="B1006" t="s">
        <v>1443</v>
      </c>
      <c r="C1006">
        <v>4438368</v>
      </c>
      <c r="D1006" t="s">
        <v>114</v>
      </c>
      <c r="E1006">
        <v>22</v>
      </c>
      <c r="F1006" t="s">
        <v>75</v>
      </c>
      <c r="G1006" s="10">
        <v>45499</v>
      </c>
      <c r="H1006" t="s">
        <v>43</v>
      </c>
      <c r="I1006" t="s">
        <v>82</v>
      </c>
      <c r="J1006" t="s">
        <v>47</v>
      </c>
      <c r="K1006" t="s">
        <v>184</v>
      </c>
      <c r="L1006" t="s">
        <v>60</v>
      </c>
      <c r="M1006" t="s">
        <v>122</v>
      </c>
      <c r="N1006">
        <v>6</v>
      </c>
      <c r="O1006" t="s">
        <v>117</v>
      </c>
      <c r="P1006" s="11">
        <v>5500</v>
      </c>
      <c r="Q1006" t="s">
        <v>62</v>
      </c>
      <c r="R1006" s="11">
        <f t="shared" si="30"/>
        <v>5500</v>
      </c>
      <c r="S1006" t="str">
        <f t="shared" si="31"/>
        <v>One-Time</v>
      </c>
    </row>
    <row r="1007" spans="1:19" ht="15" customHeight="1" x14ac:dyDescent="0.3">
      <c r="A1007">
        <v>1006</v>
      </c>
      <c r="B1007" t="s">
        <v>1444</v>
      </c>
      <c r="C1007">
        <v>5800044</v>
      </c>
      <c r="D1007" t="s">
        <v>114</v>
      </c>
      <c r="E1007">
        <v>33</v>
      </c>
      <c r="F1007" t="s">
        <v>76</v>
      </c>
      <c r="G1007" s="10">
        <v>45500</v>
      </c>
      <c r="H1007" t="s">
        <v>43</v>
      </c>
      <c r="I1007" t="s">
        <v>82</v>
      </c>
      <c r="J1007" t="s">
        <v>47</v>
      </c>
      <c r="K1007" t="s">
        <v>184</v>
      </c>
      <c r="L1007" t="s">
        <v>60</v>
      </c>
      <c r="M1007" t="s">
        <v>122</v>
      </c>
      <c r="N1007">
        <v>31</v>
      </c>
      <c r="O1007" t="s">
        <v>117</v>
      </c>
      <c r="P1007" s="11">
        <v>5500</v>
      </c>
      <c r="Q1007" t="s">
        <v>68</v>
      </c>
      <c r="R1007" s="11">
        <f t="shared" si="30"/>
        <v>5500</v>
      </c>
      <c r="S1007" t="str">
        <f t="shared" si="31"/>
        <v>One-Time</v>
      </c>
    </row>
    <row r="1008" spans="1:19" ht="15" customHeight="1" x14ac:dyDescent="0.3">
      <c r="A1008">
        <v>1007</v>
      </c>
      <c r="B1008" t="s">
        <v>1445</v>
      </c>
      <c r="C1008">
        <v>6654250</v>
      </c>
      <c r="D1008" t="s">
        <v>114</v>
      </c>
      <c r="E1008">
        <v>43</v>
      </c>
      <c r="F1008" t="s">
        <v>76</v>
      </c>
      <c r="G1008" s="10">
        <v>45501</v>
      </c>
      <c r="H1008" t="s">
        <v>43</v>
      </c>
      <c r="I1008" t="s">
        <v>82</v>
      </c>
      <c r="J1008" t="s">
        <v>47</v>
      </c>
      <c r="K1008" t="s">
        <v>184</v>
      </c>
      <c r="L1008" t="s">
        <v>60</v>
      </c>
      <c r="M1008" t="s">
        <v>122</v>
      </c>
      <c r="N1008">
        <v>2</v>
      </c>
      <c r="O1008" t="s">
        <v>117</v>
      </c>
      <c r="P1008" s="11">
        <v>6000</v>
      </c>
      <c r="Q1008" t="s">
        <v>1446</v>
      </c>
      <c r="R1008" s="11">
        <f t="shared" si="30"/>
        <v>6000</v>
      </c>
      <c r="S1008" t="str">
        <f t="shared" si="31"/>
        <v>One-Time</v>
      </c>
    </row>
    <row r="1009" spans="1:19" ht="15" customHeight="1" x14ac:dyDescent="0.3">
      <c r="A1009">
        <v>1008</v>
      </c>
      <c r="B1009" t="s">
        <v>1447</v>
      </c>
      <c r="C1009">
        <v>7682756</v>
      </c>
      <c r="D1009" t="s">
        <v>114</v>
      </c>
      <c r="E1009">
        <v>64</v>
      </c>
      <c r="F1009" t="s">
        <v>77</v>
      </c>
      <c r="G1009" s="10">
        <v>45502</v>
      </c>
      <c r="H1009" t="s">
        <v>43</v>
      </c>
      <c r="I1009" t="s">
        <v>82</v>
      </c>
      <c r="J1009" t="s">
        <v>47</v>
      </c>
      <c r="K1009" t="s">
        <v>184</v>
      </c>
      <c r="L1009" t="s">
        <v>60</v>
      </c>
      <c r="M1009" t="s">
        <v>315</v>
      </c>
      <c r="N1009">
        <v>5</v>
      </c>
      <c r="O1009" t="s">
        <v>117</v>
      </c>
      <c r="P1009" s="11">
        <v>6000</v>
      </c>
      <c r="Q1009" t="s">
        <v>65</v>
      </c>
      <c r="R1009" s="11">
        <f t="shared" si="30"/>
        <v>6000</v>
      </c>
      <c r="S1009" t="str">
        <f t="shared" si="31"/>
        <v>One-Time</v>
      </c>
    </row>
    <row r="1010" spans="1:19" ht="15" customHeight="1" x14ac:dyDescent="0.3">
      <c r="A1010">
        <v>1009</v>
      </c>
      <c r="B1010" t="s">
        <v>1448</v>
      </c>
      <c r="C1010">
        <v>9785816</v>
      </c>
      <c r="D1010" t="s">
        <v>114</v>
      </c>
      <c r="E1010">
        <v>25</v>
      </c>
      <c r="F1010" t="s">
        <v>75</v>
      </c>
      <c r="G1010" s="10">
        <v>45503</v>
      </c>
      <c r="H1010" t="s">
        <v>43</v>
      </c>
      <c r="I1010" t="s">
        <v>82</v>
      </c>
      <c r="J1010" t="s">
        <v>47</v>
      </c>
      <c r="K1010" t="s">
        <v>184</v>
      </c>
      <c r="L1010" t="s">
        <v>60</v>
      </c>
      <c r="M1010" t="s">
        <v>315</v>
      </c>
      <c r="N1010">
        <v>5</v>
      </c>
      <c r="O1010" t="s">
        <v>117</v>
      </c>
      <c r="P1010" s="11">
        <v>6000</v>
      </c>
      <c r="Q1010" t="s">
        <v>1449</v>
      </c>
      <c r="R1010" s="11">
        <f t="shared" si="30"/>
        <v>6000</v>
      </c>
      <c r="S1010" t="str">
        <f t="shared" si="31"/>
        <v>One-Time</v>
      </c>
    </row>
    <row r="1011" spans="1:19" ht="15" customHeight="1" x14ac:dyDescent="0.3">
      <c r="A1011">
        <v>1010</v>
      </c>
      <c r="B1011" t="s">
        <v>1450</v>
      </c>
      <c r="C1011">
        <v>2365972</v>
      </c>
      <c r="D1011" t="s">
        <v>114</v>
      </c>
      <c r="E1011">
        <v>41</v>
      </c>
      <c r="F1011" t="s">
        <v>76</v>
      </c>
      <c r="G1011" s="10">
        <v>45504</v>
      </c>
      <c r="H1011" t="s">
        <v>43</v>
      </c>
      <c r="I1011" t="s">
        <v>82</v>
      </c>
      <c r="J1011" t="s">
        <v>47</v>
      </c>
      <c r="K1011" t="s">
        <v>184</v>
      </c>
      <c r="L1011" t="s">
        <v>60</v>
      </c>
      <c r="M1011" t="s">
        <v>315</v>
      </c>
      <c r="N1011">
        <v>8</v>
      </c>
      <c r="O1011" t="s">
        <v>117</v>
      </c>
      <c r="P1011" s="11">
        <v>6000</v>
      </c>
      <c r="Q1011" t="s">
        <v>1451</v>
      </c>
      <c r="R1011" s="11">
        <f t="shared" si="30"/>
        <v>6000</v>
      </c>
      <c r="S1011" t="str">
        <f t="shared" si="31"/>
        <v>One-Time</v>
      </c>
    </row>
    <row r="1012" spans="1:19" ht="15" customHeight="1" x14ac:dyDescent="0.3">
      <c r="A1012">
        <v>1011</v>
      </c>
      <c r="B1012" t="s">
        <v>1452</v>
      </c>
      <c r="C1012">
        <v>6050123</v>
      </c>
      <c r="D1012" t="s">
        <v>114</v>
      </c>
      <c r="E1012">
        <v>38</v>
      </c>
      <c r="F1012" t="s">
        <v>76</v>
      </c>
      <c r="G1012" s="10">
        <v>45505</v>
      </c>
      <c r="H1012" t="s">
        <v>44</v>
      </c>
      <c r="I1012" t="s">
        <v>85</v>
      </c>
      <c r="J1012" t="s">
        <v>47</v>
      </c>
      <c r="K1012" t="s">
        <v>184</v>
      </c>
      <c r="L1012" t="s">
        <v>60</v>
      </c>
      <c r="M1012" t="s">
        <v>315</v>
      </c>
      <c r="N1012">
        <v>9</v>
      </c>
      <c r="O1012" t="s">
        <v>117</v>
      </c>
      <c r="P1012" s="11">
        <v>6000</v>
      </c>
      <c r="Q1012" t="s">
        <v>194</v>
      </c>
      <c r="R1012" s="11">
        <f t="shared" si="30"/>
        <v>0</v>
      </c>
      <c r="S1012" t="str">
        <f t="shared" si="31"/>
        <v>One-Time</v>
      </c>
    </row>
    <row r="1013" spans="1:19" ht="15" customHeight="1" x14ac:dyDescent="0.3">
      <c r="A1013">
        <v>1012</v>
      </c>
      <c r="B1013" t="s">
        <v>1453</v>
      </c>
      <c r="C1013">
        <v>4846280</v>
      </c>
      <c r="D1013" t="s">
        <v>114</v>
      </c>
      <c r="E1013">
        <v>20</v>
      </c>
      <c r="F1013" t="s">
        <v>75</v>
      </c>
      <c r="G1013" s="10">
        <v>45506</v>
      </c>
      <c r="H1013" t="s">
        <v>44</v>
      </c>
      <c r="I1013" t="s">
        <v>82</v>
      </c>
      <c r="J1013" t="s">
        <v>47</v>
      </c>
      <c r="K1013" t="s">
        <v>184</v>
      </c>
      <c r="L1013" t="s">
        <v>60</v>
      </c>
      <c r="M1013" t="s">
        <v>315</v>
      </c>
      <c r="N1013">
        <v>4</v>
      </c>
      <c r="O1013" t="s">
        <v>117</v>
      </c>
      <c r="P1013" s="11">
        <v>6000</v>
      </c>
      <c r="Q1013" t="s">
        <v>1454</v>
      </c>
      <c r="R1013" s="11">
        <f t="shared" si="30"/>
        <v>6000</v>
      </c>
      <c r="S1013" t="str">
        <f t="shared" si="31"/>
        <v>One-Time</v>
      </c>
    </row>
    <row r="1014" spans="1:19" ht="15" customHeight="1" x14ac:dyDescent="0.3">
      <c r="A1014">
        <v>1013</v>
      </c>
      <c r="B1014" t="s">
        <v>1455</v>
      </c>
      <c r="C1014">
        <v>5531302</v>
      </c>
      <c r="D1014" t="s">
        <v>114</v>
      </c>
      <c r="E1014">
        <v>42</v>
      </c>
      <c r="F1014" t="s">
        <v>76</v>
      </c>
      <c r="G1014" s="10">
        <v>45507</v>
      </c>
      <c r="H1014" t="s">
        <v>44</v>
      </c>
      <c r="I1014" t="s">
        <v>82</v>
      </c>
      <c r="J1014" t="s">
        <v>47</v>
      </c>
      <c r="K1014" t="s">
        <v>184</v>
      </c>
      <c r="L1014" t="s">
        <v>60</v>
      </c>
      <c r="M1014" t="s">
        <v>315</v>
      </c>
      <c r="N1014">
        <v>7</v>
      </c>
      <c r="O1014" t="s">
        <v>117</v>
      </c>
      <c r="P1014" s="11">
        <v>6000</v>
      </c>
      <c r="Q1014" t="s">
        <v>62</v>
      </c>
      <c r="R1014" s="11">
        <f t="shared" si="30"/>
        <v>6000</v>
      </c>
      <c r="S1014" t="str">
        <f t="shared" si="31"/>
        <v>One-Time</v>
      </c>
    </row>
    <row r="1015" spans="1:19" ht="15" customHeight="1" x14ac:dyDescent="0.3">
      <c r="A1015">
        <v>1014</v>
      </c>
      <c r="B1015" t="s">
        <v>1456</v>
      </c>
      <c r="C1015">
        <v>5403329</v>
      </c>
      <c r="D1015" t="s">
        <v>114</v>
      </c>
      <c r="E1015">
        <v>20</v>
      </c>
      <c r="F1015" t="s">
        <v>75</v>
      </c>
      <c r="G1015" s="10">
        <v>45508</v>
      </c>
      <c r="H1015" t="s">
        <v>44</v>
      </c>
      <c r="I1015" t="s">
        <v>82</v>
      </c>
      <c r="J1015" t="s">
        <v>47</v>
      </c>
      <c r="K1015" t="s">
        <v>184</v>
      </c>
      <c r="L1015" t="s">
        <v>60</v>
      </c>
      <c r="M1015" t="s">
        <v>315</v>
      </c>
      <c r="N1015">
        <v>8</v>
      </c>
      <c r="O1015" t="s">
        <v>117</v>
      </c>
      <c r="P1015" s="11">
        <v>6000</v>
      </c>
      <c r="Q1015" t="s">
        <v>63</v>
      </c>
      <c r="R1015" s="11">
        <f t="shared" si="30"/>
        <v>6000</v>
      </c>
      <c r="S1015" t="str">
        <f t="shared" si="31"/>
        <v>One-Time</v>
      </c>
    </row>
    <row r="1016" spans="1:19" ht="15" customHeight="1" x14ac:dyDescent="0.3">
      <c r="A1016">
        <v>1015</v>
      </c>
      <c r="B1016" t="s">
        <v>1457</v>
      </c>
      <c r="C1016">
        <v>1327021</v>
      </c>
      <c r="D1016" t="s">
        <v>114</v>
      </c>
      <c r="E1016">
        <v>47</v>
      </c>
      <c r="F1016" t="s">
        <v>76</v>
      </c>
      <c r="G1016" s="10">
        <v>45509</v>
      </c>
      <c r="H1016" t="s">
        <v>44</v>
      </c>
      <c r="I1016" t="s">
        <v>82</v>
      </c>
      <c r="J1016" t="s">
        <v>47</v>
      </c>
      <c r="K1016" t="s">
        <v>184</v>
      </c>
      <c r="L1016" t="s">
        <v>60</v>
      </c>
      <c r="M1016" t="s">
        <v>315</v>
      </c>
      <c r="N1016">
        <v>9</v>
      </c>
      <c r="O1016" t="s">
        <v>117</v>
      </c>
      <c r="P1016" s="11">
        <v>6000</v>
      </c>
      <c r="Q1016" t="s">
        <v>1458</v>
      </c>
      <c r="R1016" s="11">
        <f t="shared" si="30"/>
        <v>6000</v>
      </c>
      <c r="S1016" t="str">
        <f t="shared" si="31"/>
        <v>Repeat</v>
      </c>
    </row>
    <row r="1017" spans="1:19" ht="15" customHeight="1" x14ac:dyDescent="0.3">
      <c r="A1017">
        <v>1016</v>
      </c>
      <c r="B1017" t="s">
        <v>1457</v>
      </c>
      <c r="C1017">
        <v>1327021</v>
      </c>
      <c r="D1017" t="s">
        <v>114</v>
      </c>
      <c r="E1017">
        <v>40</v>
      </c>
      <c r="F1017" t="s">
        <v>76</v>
      </c>
      <c r="G1017" s="10">
        <v>45510</v>
      </c>
      <c r="H1017" t="s">
        <v>44</v>
      </c>
      <c r="I1017" t="s">
        <v>82</v>
      </c>
      <c r="J1017" t="s">
        <v>47</v>
      </c>
      <c r="K1017" t="s">
        <v>184</v>
      </c>
      <c r="L1017" t="s">
        <v>60</v>
      </c>
      <c r="M1017" t="s">
        <v>315</v>
      </c>
      <c r="N1017">
        <v>7</v>
      </c>
      <c r="O1017" t="s">
        <v>117</v>
      </c>
      <c r="P1017" s="11">
        <v>6000</v>
      </c>
      <c r="Q1017" t="s">
        <v>1459</v>
      </c>
      <c r="R1017" s="11">
        <f t="shared" si="30"/>
        <v>6000</v>
      </c>
      <c r="S1017" t="str">
        <f t="shared" si="31"/>
        <v>Repeat</v>
      </c>
    </row>
    <row r="1018" spans="1:19" ht="15" customHeight="1" x14ac:dyDescent="0.3">
      <c r="A1018">
        <v>1017</v>
      </c>
      <c r="B1018" t="s">
        <v>1460</v>
      </c>
      <c r="C1018">
        <v>2338187</v>
      </c>
      <c r="D1018" t="s">
        <v>114</v>
      </c>
      <c r="E1018">
        <v>38</v>
      </c>
      <c r="F1018" t="s">
        <v>76</v>
      </c>
      <c r="G1018" s="10">
        <v>45511</v>
      </c>
      <c r="H1018" t="s">
        <v>44</v>
      </c>
      <c r="I1018" t="s">
        <v>82</v>
      </c>
      <c r="J1018" t="s">
        <v>47</v>
      </c>
      <c r="K1018" t="s">
        <v>184</v>
      </c>
      <c r="L1018" t="s">
        <v>60</v>
      </c>
      <c r="M1018" t="s">
        <v>315</v>
      </c>
      <c r="N1018">
        <v>6</v>
      </c>
      <c r="O1018" t="s">
        <v>117</v>
      </c>
      <c r="P1018" s="11">
        <v>6000</v>
      </c>
      <c r="Q1018" t="s">
        <v>64</v>
      </c>
      <c r="R1018" s="11">
        <f t="shared" si="30"/>
        <v>6000</v>
      </c>
      <c r="S1018" t="str">
        <f t="shared" si="31"/>
        <v>One-Time</v>
      </c>
    </row>
    <row r="1019" spans="1:19" ht="15" customHeight="1" x14ac:dyDescent="0.3">
      <c r="A1019">
        <v>1018</v>
      </c>
      <c r="B1019" t="s">
        <v>1461</v>
      </c>
      <c r="C1019">
        <v>1476514</v>
      </c>
      <c r="D1019" t="s">
        <v>114</v>
      </c>
      <c r="E1019">
        <v>27</v>
      </c>
      <c r="F1019" t="s">
        <v>75</v>
      </c>
      <c r="G1019" s="10">
        <v>45512</v>
      </c>
      <c r="H1019" t="s">
        <v>44</v>
      </c>
      <c r="I1019" t="s">
        <v>82</v>
      </c>
      <c r="J1019" t="s">
        <v>47</v>
      </c>
      <c r="K1019" t="s">
        <v>184</v>
      </c>
      <c r="L1019" t="s">
        <v>60</v>
      </c>
      <c r="M1019" t="s">
        <v>315</v>
      </c>
      <c r="N1019">
        <v>2</v>
      </c>
      <c r="O1019" t="s">
        <v>117</v>
      </c>
      <c r="P1019" s="11">
        <v>6000</v>
      </c>
      <c r="Q1019" t="s">
        <v>66</v>
      </c>
      <c r="R1019" s="11">
        <f t="shared" si="30"/>
        <v>6000</v>
      </c>
      <c r="S1019" t="str">
        <f t="shared" si="31"/>
        <v>One-Time</v>
      </c>
    </row>
    <row r="1020" spans="1:19" ht="15" customHeight="1" x14ac:dyDescent="0.3">
      <c r="A1020">
        <v>1019</v>
      </c>
      <c r="B1020" t="s">
        <v>1462</v>
      </c>
      <c r="C1020">
        <v>9067431</v>
      </c>
      <c r="D1020" t="s">
        <v>114</v>
      </c>
      <c r="E1020">
        <v>51</v>
      </c>
      <c r="F1020" t="s">
        <v>77</v>
      </c>
      <c r="G1020" s="10">
        <v>45513</v>
      </c>
      <c r="H1020" t="s">
        <v>44</v>
      </c>
      <c r="I1020" t="s">
        <v>82</v>
      </c>
      <c r="J1020" t="s">
        <v>47</v>
      </c>
      <c r="K1020" t="s">
        <v>184</v>
      </c>
      <c r="L1020" t="s">
        <v>60</v>
      </c>
      <c r="M1020" t="s">
        <v>315</v>
      </c>
      <c r="N1020">
        <v>8</v>
      </c>
      <c r="O1020" t="s">
        <v>117</v>
      </c>
      <c r="P1020" s="11">
        <v>6000</v>
      </c>
      <c r="Q1020" t="s">
        <v>65</v>
      </c>
      <c r="R1020" s="11">
        <f t="shared" si="30"/>
        <v>6000</v>
      </c>
      <c r="S1020" t="str">
        <f t="shared" si="31"/>
        <v>One-Time</v>
      </c>
    </row>
    <row r="1021" spans="1:19" ht="15" customHeight="1" x14ac:dyDescent="0.3">
      <c r="A1021">
        <v>1020</v>
      </c>
      <c r="B1021" t="s">
        <v>1463</v>
      </c>
      <c r="C1021">
        <v>3080765</v>
      </c>
      <c r="D1021" t="s">
        <v>114</v>
      </c>
      <c r="E1021">
        <v>75</v>
      </c>
      <c r="F1021" t="s">
        <v>77</v>
      </c>
      <c r="G1021" s="10">
        <v>45514</v>
      </c>
      <c r="H1021" t="s">
        <v>44</v>
      </c>
      <c r="I1021" t="s">
        <v>82</v>
      </c>
      <c r="J1021" t="s">
        <v>47</v>
      </c>
      <c r="K1021" t="s">
        <v>184</v>
      </c>
      <c r="L1021" t="s">
        <v>60</v>
      </c>
      <c r="M1021" t="s">
        <v>315</v>
      </c>
      <c r="N1021">
        <v>4</v>
      </c>
      <c r="O1021" t="s">
        <v>117</v>
      </c>
      <c r="P1021" s="11">
        <v>6000</v>
      </c>
      <c r="Q1021" t="s">
        <v>64</v>
      </c>
      <c r="R1021" s="11">
        <f t="shared" si="30"/>
        <v>6000</v>
      </c>
      <c r="S1021" t="str">
        <f t="shared" si="31"/>
        <v>One-Time</v>
      </c>
    </row>
    <row r="1022" spans="1:19" ht="15" customHeight="1" x14ac:dyDescent="0.3">
      <c r="A1022">
        <v>1021</v>
      </c>
      <c r="B1022" t="s">
        <v>1464</v>
      </c>
      <c r="C1022">
        <v>4984515</v>
      </c>
      <c r="D1022" t="s">
        <v>114</v>
      </c>
      <c r="E1022">
        <v>26</v>
      </c>
      <c r="F1022" t="s">
        <v>75</v>
      </c>
      <c r="G1022" s="10">
        <v>45515</v>
      </c>
      <c r="H1022" t="s">
        <v>44</v>
      </c>
      <c r="I1022" t="s">
        <v>82</v>
      </c>
      <c r="J1022" t="s">
        <v>47</v>
      </c>
      <c r="K1022" t="s">
        <v>184</v>
      </c>
      <c r="L1022" t="s">
        <v>60</v>
      </c>
      <c r="M1022" t="s">
        <v>315</v>
      </c>
      <c r="N1022">
        <v>6</v>
      </c>
      <c r="O1022" t="s">
        <v>117</v>
      </c>
      <c r="P1022" s="11">
        <v>6000</v>
      </c>
      <c r="Q1022" t="s">
        <v>67</v>
      </c>
      <c r="R1022" s="11">
        <f t="shared" si="30"/>
        <v>6000</v>
      </c>
      <c r="S1022" t="str">
        <f t="shared" si="31"/>
        <v>Repeat</v>
      </c>
    </row>
    <row r="1023" spans="1:19" ht="15" customHeight="1" x14ac:dyDescent="0.3">
      <c r="A1023">
        <v>1022</v>
      </c>
      <c r="B1023" t="s">
        <v>1464</v>
      </c>
      <c r="C1023">
        <v>4984515</v>
      </c>
      <c r="D1023" t="s">
        <v>114</v>
      </c>
      <c r="E1023">
        <v>65</v>
      </c>
      <c r="F1023" t="s">
        <v>77</v>
      </c>
      <c r="G1023" s="10">
        <v>45516</v>
      </c>
      <c r="H1023" t="s">
        <v>44</v>
      </c>
      <c r="I1023" t="s">
        <v>82</v>
      </c>
      <c r="J1023" t="s">
        <v>47</v>
      </c>
      <c r="K1023" t="s">
        <v>184</v>
      </c>
      <c r="L1023" t="s">
        <v>56</v>
      </c>
      <c r="M1023" t="s">
        <v>315</v>
      </c>
      <c r="N1023">
        <v>5</v>
      </c>
      <c r="O1023" t="s">
        <v>117</v>
      </c>
      <c r="P1023" s="11">
        <v>5900</v>
      </c>
      <c r="Q1023" t="s">
        <v>390</v>
      </c>
      <c r="R1023" s="11">
        <f t="shared" si="30"/>
        <v>5900</v>
      </c>
      <c r="S1023" t="str">
        <f t="shared" si="31"/>
        <v>Repeat</v>
      </c>
    </row>
    <row r="1024" spans="1:19" ht="15" customHeight="1" x14ac:dyDescent="0.3">
      <c r="A1024">
        <v>1023</v>
      </c>
      <c r="B1024" t="s">
        <v>1464</v>
      </c>
      <c r="C1024">
        <v>4984515</v>
      </c>
      <c r="D1024" t="s">
        <v>114</v>
      </c>
      <c r="E1024">
        <v>33</v>
      </c>
      <c r="F1024" t="s">
        <v>76</v>
      </c>
      <c r="G1024" s="10">
        <v>45517</v>
      </c>
      <c r="H1024" t="s">
        <v>44</v>
      </c>
      <c r="I1024" t="s">
        <v>82</v>
      </c>
      <c r="J1024" t="s">
        <v>47</v>
      </c>
      <c r="K1024" t="s">
        <v>184</v>
      </c>
      <c r="L1024" t="s">
        <v>56</v>
      </c>
      <c r="M1024" t="s">
        <v>315</v>
      </c>
      <c r="N1024">
        <v>23</v>
      </c>
      <c r="O1024" t="s">
        <v>117</v>
      </c>
      <c r="P1024" s="11">
        <v>5900</v>
      </c>
      <c r="Q1024" t="s">
        <v>886</v>
      </c>
      <c r="R1024" s="11">
        <f t="shared" si="30"/>
        <v>5900</v>
      </c>
      <c r="S1024" t="str">
        <f t="shared" si="31"/>
        <v>Repeat</v>
      </c>
    </row>
    <row r="1025" spans="1:19" ht="15" customHeight="1" x14ac:dyDescent="0.3">
      <c r="A1025">
        <v>1024</v>
      </c>
      <c r="B1025" t="s">
        <v>1464</v>
      </c>
      <c r="C1025">
        <v>4984515</v>
      </c>
      <c r="D1025" t="s">
        <v>114</v>
      </c>
      <c r="E1025">
        <v>43</v>
      </c>
      <c r="F1025" t="s">
        <v>76</v>
      </c>
      <c r="G1025" s="10">
        <v>45518</v>
      </c>
      <c r="H1025" t="s">
        <v>44</v>
      </c>
      <c r="I1025" t="s">
        <v>82</v>
      </c>
      <c r="J1025" t="s">
        <v>47</v>
      </c>
      <c r="K1025" t="s">
        <v>182</v>
      </c>
      <c r="L1025" t="s">
        <v>56</v>
      </c>
      <c r="M1025" t="s">
        <v>315</v>
      </c>
      <c r="N1025">
        <v>2</v>
      </c>
      <c r="O1025" t="s">
        <v>117</v>
      </c>
      <c r="P1025" s="11">
        <v>5900</v>
      </c>
      <c r="Q1025" t="s">
        <v>63</v>
      </c>
      <c r="R1025" s="11">
        <f t="shared" si="30"/>
        <v>5900</v>
      </c>
      <c r="S1025" t="str">
        <f t="shared" si="31"/>
        <v>Repeat</v>
      </c>
    </row>
    <row r="1026" spans="1:19" ht="15" customHeight="1" x14ac:dyDescent="0.3">
      <c r="A1026">
        <v>1025</v>
      </c>
      <c r="B1026" t="s">
        <v>1464</v>
      </c>
      <c r="C1026">
        <v>4984515</v>
      </c>
      <c r="D1026" t="s">
        <v>114</v>
      </c>
      <c r="E1026">
        <v>58</v>
      </c>
      <c r="F1026" t="s">
        <v>77</v>
      </c>
      <c r="G1026" s="10">
        <v>45507</v>
      </c>
      <c r="H1026" t="s">
        <v>44</v>
      </c>
      <c r="I1026" t="s">
        <v>82</v>
      </c>
      <c r="J1026" t="s">
        <v>47</v>
      </c>
      <c r="K1026" t="s">
        <v>182</v>
      </c>
      <c r="L1026" t="s">
        <v>56</v>
      </c>
      <c r="M1026" t="s">
        <v>315</v>
      </c>
      <c r="N1026">
        <v>5</v>
      </c>
      <c r="O1026" t="s">
        <v>117</v>
      </c>
      <c r="P1026" s="11">
        <v>5900</v>
      </c>
      <c r="Q1026" t="s">
        <v>1465</v>
      </c>
      <c r="R1026" s="11">
        <f t="shared" ref="R1026:R1089" si="32">IF(I1026="Delivered",P1026,0)</f>
        <v>5900</v>
      </c>
      <c r="S1026" t="str">
        <f t="shared" ref="S1026:S1089" si="33">IF(COUNTIF($C$2:$C$1501,C1026)&gt;1,"Repeat","One-Time")</f>
        <v>Repeat</v>
      </c>
    </row>
    <row r="1027" spans="1:19" ht="15" customHeight="1" x14ac:dyDescent="0.3">
      <c r="A1027">
        <v>1026</v>
      </c>
      <c r="B1027" t="s">
        <v>1464</v>
      </c>
      <c r="C1027">
        <v>4984515</v>
      </c>
      <c r="D1027" t="s">
        <v>114</v>
      </c>
      <c r="E1027">
        <v>32</v>
      </c>
      <c r="F1027" t="s">
        <v>76</v>
      </c>
      <c r="G1027" s="10">
        <v>45295</v>
      </c>
      <c r="H1027" t="s">
        <v>37</v>
      </c>
      <c r="I1027" t="s">
        <v>82</v>
      </c>
      <c r="J1027" t="s">
        <v>47</v>
      </c>
      <c r="K1027" t="s">
        <v>182</v>
      </c>
      <c r="L1027" t="s">
        <v>56</v>
      </c>
      <c r="M1027" t="s">
        <v>315</v>
      </c>
      <c r="N1027">
        <v>9</v>
      </c>
      <c r="O1027" t="s">
        <v>117</v>
      </c>
      <c r="P1027" s="11">
        <v>5900</v>
      </c>
      <c r="Q1027" t="s">
        <v>65</v>
      </c>
      <c r="R1027" s="11">
        <f t="shared" si="32"/>
        <v>5900</v>
      </c>
      <c r="S1027" t="str">
        <f t="shared" si="33"/>
        <v>Repeat</v>
      </c>
    </row>
    <row r="1028" spans="1:19" ht="15" customHeight="1" x14ac:dyDescent="0.3">
      <c r="A1028">
        <v>1027</v>
      </c>
      <c r="B1028" t="s">
        <v>1464</v>
      </c>
      <c r="C1028">
        <v>4984515</v>
      </c>
      <c r="D1028" t="s">
        <v>114</v>
      </c>
      <c r="E1028">
        <v>25</v>
      </c>
      <c r="F1028" t="s">
        <v>75</v>
      </c>
      <c r="G1028" s="10">
        <v>45296</v>
      </c>
      <c r="H1028" t="s">
        <v>37</v>
      </c>
      <c r="I1028" t="s">
        <v>82</v>
      </c>
      <c r="J1028" t="s">
        <v>47</v>
      </c>
      <c r="K1028" t="s">
        <v>182</v>
      </c>
      <c r="L1028" t="s">
        <v>56</v>
      </c>
      <c r="M1028" t="s">
        <v>315</v>
      </c>
      <c r="N1028">
        <v>27</v>
      </c>
      <c r="O1028" t="s">
        <v>117</v>
      </c>
      <c r="P1028" s="11">
        <v>5900</v>
      </c>
      <c r="Q1028" t="s">
        <v>558</v>
      </c>
      <c r="R1028" s="11">
        <f t="shared" si="32"/>
        <v>5900</v>
      </c>
      <c r="S1028" t="str">
        <f t="shared" si="33"/>
        <v>Repeat</v>
      </c>
    </row>
    <row r="1029" spans="1:19" ht="15" customHeight="1" x14ac:dyDescent="0.3">
      <c r="A1029">
        <v>1028</v>
      </c>
      <c r="B1029" t="s">
        <v>1464</v>
      </c>
      <c r="C1029">
        <v>4984515</v>
      </c>
      <c r="D1029" t="s">
        <v>114</v>
      </c>
      <c r="E1029">
        <v>70</v>
      </c>
      <c r="F1029" t="s">
        <v>77</v>
      </c>
      <c r="G1029" s="10">
        <v>45297</v>
      </c>
      <c r="H1029" t="s">
        <v>37</v>
      </c>
      <c r="I1029" t="s">
        <v>82</v>
      </c>
      <c r="J1029" t="s">
        <v>47</v>
      </c>
      <c r="K1029" t="s">
        <v>182</v>
      </c>
      <c r="L1029" t="s">
        <v>56</v>
      </c>
      <c r="M1029" t="s">
        <v>315</v>
      </c>
      <c r="N1029">
        <v>6</v>
      </c>
      <c r="O1029" t="s">
        <v>117</v>
      </c>
      <c r="P1029" s="11">
        <v>5900</v>
      </c>
      <c r="Q1029" t="s">
        <v>231</v>
      </c>
      <c r="R1029" s="11">
        <f t="shared" si="32"/>
        <v>5900</v>
      </c>
      <c r="S1029" t="str">
        <f t="shared" si="33"/>
        <v>Repeat</v>
      </c>
    </row>
    <row r="1030" spans="1:19" ht="15" customHeight="1" x14ac:dyDescent="0.3">
      <c r="A1030">
        <v>1029</v>
      </c>
      <c r="B1030" t="s">
        <v>1464</v>
      </c>
      <c r="C1030">
        <v>4984515</v>
      </c>
      <c r="D1030" t="s">
        <v>114</v>
      </c>
      <c r="E1030">
        <v>49</v>
      </c>
      <c r="F1030" t="s">
        <v>76</v>
      </c>
      <c r="G1030" s="10">
        <v>45298</v>
      </c>
      <c r="H1030" t="s">
        <v>37</v>
      </c>
      <c r="I1030" t="s">
        <v>82</v>
      </c>
      <c r="J1030" t="s">
        <v>47</v>
      </c>
      <c r="K1030" t="s">
        <v>115</v>
      </c>
      <c r="L1030" t="s">
        <v>56</v>
      </c>
      <c r="M1030" t="s">
        <v>315</v>
      </c>
      <c r="N1030">
        <v>6</v>
      </c>
      <c r="O1030" t="s">
        <v>117</v>
      </c>
      <c r="P1030" s="11">
        <v>5900</v>
      </c>
      <c r="Q1030" t="s">
        <v>1466</v>
      </c>
      <c r="R1030" s="11">
        <f t="shared" si="32"/>
        <v>5900</v>
      </c>
      <c r="S1030" t="str">
        <f t="shared" si="33"/>
        <v>Repeat</v>
      </c>
    </row>
    <row r="1031" spans="1:19" ht="15" customHeight="1" x14ac:dyDescent="0.3">
      <c r="A1031">
        <v>1030</v>
      </c>
      <c r="B1031" t="s">
        <v>1464</v>
      </c>
      <c r="C1031">
        <v>4984515</v>
      </c>
      <c r="D1031" t="s">
        <v>114</v>
      </c>
      <c r="E1031">
        <v>36</v>
      </c>
      <c r="F1031" t="s">
        <v>76</v>
      </c>
      <c r="G1031" s="10">
        <v>45299</v>
      </c>
      <c r="H1031" t="s">
        <v>37</v>
      </c>
      <c r="I1031" t="s">
        <v>82</v>
      </c>
      <c r="J1031" t="s">
        <v>47</v>
      </c>
      <c r="K1031" t="s">
        <v>115</v>
      </c>
      <c r="L1031" t="s">
        <v>56</v>
      </c>
      <c r="M1031" t="s">
        <v>315</v>
      </c>
      <c r="N1031">
        <v>2</v>
      </c>
      <c r="O1031" t="s">
        <v>117</v>
      </c>
      <c r="P1031" s="11">
        <v>5900</v>
      </c>
      <c r="Q1031" t="s">
        <v>67</v>
      </c>
      <c r="R1031" s="11">
        <f t="shared" si="32"/>
        <v>5900</v>
      </c>
      <c r="S1031" t="str">
        <f t="shared" si="33"/>
        <v>Repeat</v>
      </c>
    </row>
    <row r="1032" spans="1:19" ht="15" customHeight="1" x14ac:dyDescent="0.3">
      <c r="A1032">
        <v>1031</v>
      </c>
      <c r="B1032" t="s">
        <v>1464</v>
      </c>
      <c r="C1032">
        <v>4984515</v>
      </c>
      <c r="D1032" t="s">
        <v>114</v>
      </c>
      <c r="E1032">
        <v>30</v>
      </c>
      <c r="F1032" t="s">
        <v>76</v>
      </c>
      <c r="G1032" s="10">
        <v>45300</v>
      </c>
      <c r="H1032" t="s">
        <v>37</v>
      </c>
      <c r="I1032" t="s">
        <v>82</v>
      </c>
      <c r="J1032" t="s">
        <v>47</v>
      </c>
      <c r="K1032" t="s">
        <v>115</v>
      </c>
      <c r="L1032" t="s">
        <v>56</v>
      </c>
      <c r="M1032" t="s">
        <v>315</v>
      </c>
      <c r="N1032">
        <v>32</v>
      </c>
      <c r="O1032" t="s">
        <v>117</v>
      </c>
      <c r="P1032" s="11">
        <v>5900</v>
      </c>
      <c r="Q1032" t="s">
        <v>1467</v>
      </c>
      <c r="R1032" s="11">
        <f t="shared" si="32"/>
        <v>5900</v>
      </c>
      <c r="S1032" t="str">
        <f t="shared" si="33"/>
        <v>Repeat</v>
      </c>
    </row>
    <row r="1033" spans="1:19" ht="15" customHeight="1" x14ac:dyDescent="0.3">
      <c r="A1033">
        <v>1032</v>
      </c>
      <c r="B1033" t="s">
        <v>1464</v>
      </c>
      <c r="C1033">
        <v>4984515</v>
      </c>
      <c r="D1033" t="s">
        <v>114</v>
      </c>
      <c r="E1033">
        <v>46</v>
      </c>
      <c r="F1033" t="s">
        <v>76</v>
      </c>
      <c r="G1033" s="10">
        <v>45301</v>
      </c>
      <c r="H1033" t="s">
        <v>37</v>
      </c>
      <c r="I1033" t="s">
        <v>82</v>
      </c>
      <c r="J1033" t="s">
        <v>47</v>
      </c>
      <c r="K1033" t="s">
        <v>115</v>
      </c>
      <c r="L1033" t="s">
        <v>56</v>
      </c>
      <c r="M1033" t="s">
        <v>315</v>
      </c>
      <c r="N1033">
        <v>3</v>
      </c>
      <c r="O1033" t="s">
        <v>117</v>
      </c>
      <c r="P1033" s="11">
        <v>5900</v>
      </c>
      <c r="Q1033" t="s">
        <v>63</v>
      </c>
      <c r="R1033" s="11">
        <f t="shared" si="32"/>
        <v>5900</v>
      </c>
      <c r="S1033" t="str">
        <f t="shared" si="33"/>
        <v>Repeat</v>
      </c>
    </row>
    <row r="1034" spans="1:19" ht="15" customHeight="1" x14ac:dyDescent="0.3">
      <c r="A1034">
        <v>1033</v>
      </c>
      <c r="B1034" t="s">
        <v>1468</v>
      </c>
      <c r="C1034">
        <v>173977</v>
      </c>
      <c r="D1034" t="s">
        <v>114</v>
      </c>
      <c r="E1034">
        <v>50</v>
      </c>
      <c r="F1034" t="s">
        <v>77</v>
      </c>
      <c r="G1034" s="10">
        <v>45302</v>
      </c>
      <c r="H1034" t="s">
        <v>37</v>
      </c>
      <c r="I1034" t="s">
        <v>82</v>
      </c>
      <c r="J1034" t="s">
        <v>47</v>
      </c>
      <c r="K1034" t="s">
        <v>115</v>
      </c>
      <c r="L1034" t="s">
        <v>56</v>
      </c>
      <c r="M1034" t="s">
        <v>315</v>
      </c>
      <c r="N1034">
        <v>48</v>
      </c>
      <c r="O1034" t="s">
        <v>117</v>
      </c>
      <c r="P1034" s="11">
        <v>5900</v>
      </c>
      <c r="Q1034" t="s">
        <v>174</v>
      </c>
      <c r="R1034" s="11">
        <f t="shared" si="32"/>
        <v>5900</v>
      </c>
      <c r="S1034" t="str">
        <f t="shared" si="33"/>
        <v>Repeat</v>
      </c>
    </row>
    <row r="1035" spans="1:19" ht="15" customHeight="1" x14ac:dyDescent="0.3">
      <c r="A1035">
        <v>1034</v>
      </c>
      <c r="B1035" t="s">
        <v>1468</v>
      </c>
      <c r="C1035">
        <v>173977</v>
      </c>
      <c r="D1035" t="s">
        <v>114</v>
      </c>
      <c r="E1035">
        <v>41</v>
      </c>
      <c r="F1035" t="s">
        <v>76</v>
      </c>
      <c r="G1035" s="10">
        <v>45303</v>
      </c>
      <c r="H1035" t="s">
        <v>37</v>
      </c>
      <c r="I1035" t="s">
        <v>82</v>
      </c>
      <c r="J1035" t="s">
        <v>47</v>
      </c>
      <c r="K1035" t="s">
        <v>115</v>
      </c>
      <c r="L1035" t="s">
        <v>56</v>
      </c>
      <c r="M1035" t="s">
        <v>315</v>
      </c>
      <c r="N1035">
        <v>5</v>
      </c>
      <c r="O1035" t="s">
        <v>117</v>
      </c>
      <c r="P1035" s="11">
        <v>5900</v>
      </c>
      <c r="Q1035" t="s">
        <v>1469</v>
      </c>
      <c r="R1035" s="11">
        <f t="shared" si="32"/>
        <v>5900</v>
      </c>
      <c r="S1035" t="str">
        <f t="shared" si="33"/>
        <v>Repeat</v>
      </c>
    </row>
    <row r="1036" spans="1:19" ht="15" customHeight="1" x14ac:dyDescent="0.3">
      <c r="A1036">
        <v>1035</v>
      </c>
      <c r="B1036" t="s">
        <v>1468</v>
      </c>
      <c r="C1036">
        <v>173977</v>
      </c>
      <c r="D1036" t="s">
        <v>114</v>
      </c>
      <c r="E1036">
        <v>29</v>
      </c>
      <c r="F1036" t="s">
        <v>75</v>
      </c>
      <c r="G1036" s="10">
        <v>45304</v>
      </c>
      <c r="H1036" t="s">
        <v>37</v>
      </c>
      <c r="I1036" t="s">
        <v>82</v>
      </c>
      <c r="J1036" t="s">
        <v>47</v>
      </c>
      <c r="K1036" t="s">
        <v>115</v>
      </c>
      <c r="L1036" t="s">
        <v>56</v>
      </c>
      <c r="M1036" t="s">
        <v>315</v>
      </c>
      <c r="N1036">
        <v>2</v>
      </c>
      <c r="O1036" t="s">
        <v>117</v>
      </c>
      <c r="P1036" s="11">
        <v>5900</v>
      </c>
      <c r="Q1036" t="s">
        <v>64</v>
      </c>
      <c r="R1036" s="11">
        <f t="shared" si="32"/>
        <v>5900</v>
      </c>
      <c r="S1036" t="str">
        <f t="shared" si="33"/>
        <v>Repeat</v>
      </c>
    </row>
    <row r="1037" spans="1:19" ht="15" customHeight="1" x14ac:dyDescent="0.3">
      <c r="A1037">
        <v>1036</v>
      </c>
      <c r="B1037" t="s">
        <v>1468</v>
      </c>
      <c r="C1037">
        <v>173977</v>
      </c>
      <c r="D1037" t="s">
        <v>114</v>
      </c>
      <c r="E1037">
        <v>62</v>
      </c>
      <c r="F1037" t="s">
        <v>77</v>
      </c>
      <c r="G1037" s="10">
        <v>45305</v>
      </c>
      <c r="H1037" t="s">
        <v>37</v>
      </c>
      <c r="I1037" t="s">
        <v>82</v>
      </c>
      <c r="J1037" t="s">
        <v>47</v>
      </c>
      <c r="K1037" t="s">
        <v>115</v>
      </c>
      <c r="L1037" t="s">
        <v>56</v>
      </c>
      <c r="M1037" t="s">
        <v>315</v>
      </c>
      <c r="N1037">
        <v>9</v>
      </c>
      <c r="O1037" t="s">
        <v>117</v>
      </c>
      <c r="P1037" s="11">
        <v>5900</v>
      </c>
      <c r="Q1037" t="s">
        <v>63</v>
      </c>
      <c r="R1037" s="11">
        <f t="shared" si="32"/>
        <v>5900</v>
      </c>
      <c r="S1037" t="str">
        <f t="shared" si="33"/>
        <v>Repeat</v>
      </c>
    </row>
    <row r="1038" spans="1:19" ht="15" customHeight="1" x14ac:dyDescent="0.3">
      <c r="A1038">
        <v>1037</v>
      </c>
      <c r="B1038" t="s">
        <v>1468</v>
      </c>
      <c r="C1038">
        <v>173977</v>
      </c>
      <c r="D1038" t="s">
        <v>114</v>
      </c>
      <c r="E1038">
        <v>23</v>
      </c>
      <c r="F1038" t="s">
        <v>75</v>
      </c>
      <c r="G1038" s="10">
        <v>45306</v>
      </c>
      <c r="H1038" t="s">
        <v>37</v>
      </c>
      <c r="I1038" t="s">
        <v>82</v>
      </c>
      <c r="J1038" t="s">
        <v>47</v>
      </c>
      <c r="K1038" t="s">
        <v>115</v>
      </c>
      <c r="L1038" t="s">
        <v>56</v>
      </c>
      <c r="M1038" t="s">
        <v>315</v>
      </c>
      <c r="N1038">
        <v>7</v>
      </c>
      <c r="O1038" t="s">
        <v>117</v>
      </c>
      <c r="P1038" s="11">
        <v>5900</v>
      </c>
      <c r="Q1038" t="s">
        <v>405</v>
      </c>
      <c r="R1038" s="11">
        <f t="shared" si="32"/>
        <v>5900</v>
      </c>
      <c r="S1038" t="str">
        <f t="shared" si="33"/>
        <v>Repeat</v>
      </c>
    </row>
    <row r="1039" spans="1:19" ht="15" customHeight="1" x14ac:dyDescent="0.3">
      <c r="A1039">
        <v>1038</v>
      </c>
      <c r="B1039" t="s">
        <v>1468</v>
      </c>
      <c r="C1039">
        <v>173977</v>
      </c>
      <c r="D1039" t="s">
        <v>114</v>
      </c>
      <c r="E1039">
        <v>68</v>
      </c>
      <c r="F1039" t="s">
        <v>77</v>
      </c>
      <c r="G1039" s="10">
        <v>45307</v>
      </c>
      <c r="H1039" t="s">
        <v>37</v>
      </c>
      <c r="I1039" t="s">
        <v>82</v>
      </c>
      <c r="J1039" t="s">
        <v>47</v>
      </c>
      <c r="K1039" t="s">
        <v>115</v>
      </c>
      <c r="L1039" t="s">
        <v>56</v>
      </c>
      <c r="M1039" t="s">
        <v>315</v>
      </c>
      <c r="N1039">
        <v>2</v>
      </c>
      <c r="O1039" t="s">
        <v>117</v>
      </c>
      <c r="P1039" s="11">
        <v>5900</v>
      </c>
      <c r="Q1039" t="s">
        <v>64</v>
      </c>
      <c r="R1039" s="11">
        <f t="shared" si="32"/>
        <v>5900</v>
      </c>
      <c r="S1039" t="str">
        <f t="shared" si="33"/>
        <v>Repeat</v>
      </c>
    </row>
    <row r="1040" spans="1:19" ht="15" customHeight="1" x14ac:dyDescent="0.3">
      <c r="A1040">
        <v>1039</v>
      </c>
      <c r="B1040" t="s">
        <v>1468</v>
      </c>
      <c r="C1040">
        <v>173977</v>
      </c>
      <c r="D1040" t="s">
        <v>114</v>
      </c>
      <c r="E1040">
        <v>25</v>
      </c>
      <c r="F1040" t="s">
        <v>75</v>
      </c>
      <c r="G1040" s="10">
        <v>45308</v>
      </c>
      <c r="H1040" t="s">
        <v>37</v>
      </c>
      <c r="I1040" t="s">
        <v>82</v>
      </c>
      <c r="J1040" t="s">
        <v>47</v>
      </c>
      <c r="K1040" t="s">
        <v>115</v>
      </c>
      <c r="L1040" t="s">
        <v>56</v>
      </c>
      <c r="M1040" t="s">
        <v>315</v>
      </c>
      <c r="N1040">
        <v>8</v>
      </c>
      <c r="O1040" t="s">
        <v>117</v>
      </c>
      <c r="P1040" s="11">
        <v>5900</v>
      </c>
      <c r="Q1040" t="s">
        <v>1470</v>
      </c>
      <c r="R1040" s="11">
        <f t="shared" si="32"/>
        <v>5900</v>
      </c>
      <c r="S1040" t="str">
        <f t="shared" si="33"/>
        <v>Repeat</v>
      </c>
    </row>
    <row r="1041" spans="1:19" ht="15" customHeight="1" x14ac:dyDescent="0.3">
      <c r="A1041">
        <v>1040</v>
      </c>
      <c r="B1041" t="s">
        <v>1468</v>
      </c>
      <c r="C1041">
        <v>173977</v>
      </c>
      <c r="D1041" t="s">
        <v>114</v>
      </c>
      <c r="E1041">
        <v>25</v>
      </c>
      <c r="F1041" t="s">
        <v>75</v>
      </c>
      <c r="G1041" s="10">
        <v>45309</v>
      </c>
      <c r="H1041" t="s">
        <v>37</v>
      </c>
      <c r="I1041" t="s">
        <v>82</v>
      </c>
      <c r="J1041" t="s">
        <v>47</v>
      </c>
      <c r="K1041" t="s">
        <v>115</v>
      </c>
      <c r="L1041" t="s">
        <v>56</v>
      </c>
      <c r="M1041" t="s">
        <v>116</v>
      </c>
      <c r="N1041">
        <v>4</v>
      </c>
      <c r="O1041" t="s">
        <v>117</v>
      </c>
      <c r="P1041" s="11">
        <v>5900</v>
      </c>
      <c r="Q1041" t="s">
        <v>740</v>
      </c>
      <c r="R1041" s="11">
        <f t="shared" si="32"/>
        <v>5900</v>
      </c>
      <c r="S1041" t="str">
        <f t="shared" si="33"/>
        <v>Repeat</v>
      </c>
    </row>
    <row r="1042" spans="1:19" ht="15" customHeight="1" x14ac:dyDescent="0.3">
      <c r="A1042">
        <v>1041</v>
      </c>
      <c r="B1042" t="s">
        <v>1468</v>
      </c>
      <c r="C1042">
        <v>173977</v>
      </c>
      <c r="D1042" t="s">
        <v>114</v>
      </c>
      <c r="E1042">
        <v>24</v>
      </c>
      <c r="F1042" t="s">
        <v>75</v>
      </c>
      <c r="G1042" s="10">
        <v>45310</v>
      </c>
      <c r="H1042" t="s">
        <v>37</v>
      </c>
      <c r="I1042" t="s">
        <v>82</v>
      </c>
      <c r="J1042" t="s">
        <v>47</v>
      </c>
      <c r="K1042" t="s">
        <v>115</v>
      </c>
      <c r="L1042" t="s">
        <v>56</v>
      </c>
      <c r="M1042" t="s">
        <v>116</v>
      </c>
      <c r="N1042">
        <v>5</v>
      </c>
      <c r="O1042" t="s">
        <v>117</v>
      </c>
      <c r="P1042" s="11">
        <v>5900</v>
      </c>
      <c r="Q1042" t="s">
        <v>62</v>
      </c>
      <c r="R1042" s="11">
        <f t="shared" si="32"/>
        <v>5900</v>
      </c>
      <c r="S1042" t="str">
        <f t="shared" si="33"/>
        <v>Repeat</v>
      </c>
    </row>
    <row r="1043" spans="1:19" ht="15" customHeight="1" x14ac:dyDescent="0.3">
      <c r="A1043">
        <v>1042</v>
      </c>
      <c r="B1043" t="s">
        <v>1468</v>
      </c>
      <c r="C1043">
        <v>173977</v>
      </c>
      <c r="D1043" t="s">
        <v>114</v>
      </c>
      <c r="E1043">
        <v>39</v>
      </c>
      <c r="F1043" t="s">
        <v>76</v>
      </c>
      <c r="G1043" s="10">
        <v>45326</v>
      </c>
      <c r="H1043" t="s">
        <v>38</v>
      </c>
      <c r="I1043" t="s">
        <v>82</v>
      </c>
      <c r="J1043" t="s">
        <v>47</v>
      </c>
      <c r="K1043" t="s">
        <v>115</v>
      </c>
      <c r="L1043" t="s">
        <v>56</v>
      </c>
      <c r="M1043" t="s">
        <v>116</v>
      </c>
      <c r="N1043">
        <v>6</v>
      </c>
      <c r="O1043" t="s">
        <v>117</v>
      </c>
      <c r="P1043" s="11">
        <v>5900</v>
      </c>
      <c r="Q1043" t="s">
        <v>63</v>
      </c>
      <c r="R1043" s="11">
        <f t="shared" si="32"/>
        <v>5900</v>
      </c>
      <c r="S1043" t="str">
        <f t="shared" si="33"/>
        <v>Repeat</v>
      </c>
    </row>
    <row r="1044" spans="1:19" ht="15" customHeight="1" x14ac:dyDescent="0.3">
      <c r="A1044">
        <v>1043</v>
      </c>
      <c r="B1044" t="s">
        <v>1468</v>
      </c>
      <c r="C1044">
        <v>173977</v>
      </c>
      <c r="D1044" t="s">
        <v>114</v>
      </c>
      <c r="E1044">
        <v>30</v>
      </c>
      <c r="F1044" t="s">
        <v>76</v>
      </c>
      <c r="G1044" s="10">
        <v>45326</v>
      </c>
      <c r="H1044" t="s">
        <v>38</v>
      </c>
      <c r="I1044" t="s">
        <v>82</v>
      </c>
      <c r="J1044" t="s">
        <v>47</v>
      </c>
      <c r="K1044" t="s">
        <v>115</v>
      </c>
      <c r="L1044" t="s">
        <v>59</v>
      </c>
      <c r="M1044" t="s">
        <v>116</v>
      </c>
      <c r="N1044">
        <v>31</v>
      </c>
      <c r="O1044" t="s">
        <v>117</v>
      </c>
      <c r="P1044" s="11">
        <v>5900</v>
      </c>
      <c r="Q1044" t="s">
        <v>63</v>
      </c>
      <c r="R1044" s="11">
        <f t="shared" si="32"/>
        <v>5900</v>
      </c>
      <c r="S1044" t="str">
        <f t="shared" si="33"/>
        <v>Repeat</v>
      </c>
    </row>
    <row r="1045" spans="1:19" ht="15" customHeight="1" x14ac:dyDescent="0.3">
      <c r="A1045">
        <v>1044</v>
      </c>
      <c r="B1045" t="s">
        <v>1471</v>
      </c>
      <c r="C1045">
        <v>3781773</v>
      </c>
      <c r="D1045" t="s">
        <v>114</v>
      </c>
      <c r="E1045">
        <v>23</v>
      </c>
      <c r="F1045" t="s">
        <v>75</v>
      </c>
      <c r="G1045" s="10">
        <v>45326</v>
      </c>
      <c r="H1045" t="s">
        <v>38</v>
      </c>
      <c r="I1045" t="s">
        <v>82</v>
      </c>
      <c r="J1045" t="s">
        <v>47</v>
      </c>
      <c r="K1045" t="s">
        <v>115</v>
      </c>
      <c r="L1045" t="s">
        <v>59</v>
      </c>
      <c r="M1045" t="s">
        <v>116</v>
      </c>
      <c r="N1045">
        <v>2</v>
      </c>
      <c r="O1045" t="s">
        <v>117</v>
      </c>
      <c r="P1045" s="11">
        <v>5900</v>
      </c>
      <c r="Q1045" t="s">
        <v>65</v>
      </c>
      <c r="R1045" s="11">
        <f t="shared" si="32"/>
        <v>5900</v>
      </c>
      <c r="S1045" t="str">
        <f t="shared" si="33"/>
        <v>One-Time</v>
      </c>
    </row>
    <row r="1046" spans="1:19" ht="15" customHeight="1" x14ac:dyDescent="0.3">
      <c r="A1046">
        <v>1045</v>
      </c>
      <c r="B1046" t="s">
        <v>1472</v>
      </c>
      <c r="C1046">
        <v>8901446</v>
      </c>
      <c r="D1046" t="s">
        <v>114</v>
      </c>
      <c r="E1046">
        <v>58</v>
      </c>
      <c r="F1046" t="s">
        <v>77</v>
      </c>
      <c r="G1046" s="10">
        <v>45326</v>
      </c>
      <c r="H1046" t="s">
        <v>38</v>
      </c>
      <c r="I1046" t="s">
        <v>82</v>
      </c>
      <c r="J1046" t="s">
        <v>47</v>
      </c>
      <c r="K1046" t="s">
        <v>121</v>
      </c>
      <c r="L1046" t="s">
        <v>59</v>
      </c>
      <c r="M1046" t="s">
        <v>116</v>
      </c>
      <c r="N1046">
        <v>5</v>
      </c>
      <c r="O1046" t="s">
        <v>117</v>
      </c>
      <c r="P1046" s="11">
        <v>5900</v>
      </c>
      <c r="Q1046" t="s">
        <v>1473</v>
      </c>
      <c r="R1046" s="11">
        <f t="shared" si="32"/>
        <v>5900</v>
      </c>
      <c r="S1046" t="str">
        <f t="shared" si="33"/>
        <v>One-Time</v>
      </c>
    </row>
    <row r="1047" spans="1:19" ht="15" customHeight="1" x14ac:dyDescent="0.3">
      <c r="A1047">
        <v>1046</v>
      </c>
      <c r="B1047" t="s">
        <v>1474</v>
      </c>
      <c r="C1047">
        <v>6347718</v>
      </c>
      <c r="D1047" t="s">
        <v>114</v>
      </c>
      <c r="E1047">
        <v>58</v>
      </c>
      <c r="F1047" t="s">
        <v>77</v>
      </c>
      <c r="G1047" s="10">
        <v>45326</v>
      </c>
      <c r="H1047" t="s">
        <v>38</v>
      </c>
      <c r="I1047" t="s">
        <v>82</v>
      </c>
      <c r="J1047" t="s">
        <v>47</v>
      </c>
      <c r="K1047" t="s">
        <v>196</v>
      </c>
      <c r="L1047" t="s">
        <v>59</v>
      </c>
      <c r="M1047" t="s">
        <v>116</v>
      </c>
      <c r="N1047">
        <v>5</v>
      </c>
      <c r="O1047" t="s">
        <v>117</v>
      </c>
      <c r="P1047" s="11">
        <v>5900</v>
      </c>
      <c r="Q1047" t="s">
        <v>65</v>
      </c>
      <c r="R1047" s="11">
        <f t="shared" si="32"/>
        <v>5900</v>
      </c>
      <c r="S1047" t="str">
        <f t="shared" si="33"/>
        <v>One-Time</v>
      </c>
    </row>
    <row r="1048" spans="1:19" ht="15" customHeight="1" x14ac:dyDescent="0.3">
      <c r="A1048">
        <v>1047</v>
      </c>
      <c r="B1048" t="s">
        <v>1475</v>
      </c>
      <c r="C1048">
        <v>9825843</v>
      </c>
      <c r="D1048" t="s">
        <v>114</v>
      </c>
      <c r="E1048">
        <v>33</v>
      </c>
      <c r="F1048" t="s">
        <v>76</v>
      </c>
      <c r="G1048" s="10">
        <v>45326</v>
      </c>
      <c r="H1048" t="s">
        <v>38</v>
      </c>
      <c r="I1048" t="s">
        <v>82</v>
      </c>
      <c r="J1048" t="s">
        <v>47</v>
      </c>
      <c r="K1048" t="s">
        <v>196</v>
      </c>
      <c r="L1048" t="s">
        <v>59</v>
      </c>
      <c r="M1048" t="s">
        <v>116</v>
      </c>
      <c r="N1048">
        <v>8</v>
      </c>
      <c r="O1048" t="s">
        <v>117</v>
      </c>
      <c r="P1048" s="11">
        <v>5900</v>
      </c>
      <c r="Q1048" t="s">
        <v>174</v>
      </c>
      <c r="R1048" s="11">
        <f t="shared" si="32"/>
        <v>5900</v>
      </c>
      <c r="S1048" t="str">
        <f t="shared" si="33"/>
        <v>One-Time</v>
      </c>
    </row>
    <row r="1049" spans="1:19" ht="15" customHeight="1" x14ac:dyDescent="0.3">
      <c r="A1049">
        <v>1048</v>
      </c>
      <c r="B1049" t="s">
        <v>1476</v>
      </c>
      <c r="C1049">
        <v>7186513</v>
      </c>
      <c r="D1049" t="s">
        <v>114</v>
      </c>
      <c r="E1049">
        <v>43</v>
      </c>
      <c r="F1049" t="s">
        <v>76</v>
      </c>
      <c r="G1049" s="10">
        <v>45326</v>
      </c>
      <c r="H1049" t="s">
        <v>38</v>
      </c>
      <c r="I1049" t="s">
        <v>82</v>
      </c>
      <c r="J1049" t="s">
        <v>47</v>
      </c>
      <c r="K1049" t="s">
        <v>196</v>
      </c>
      <c r="L1049" t="s">
        <v>59</v>
      </c>
      <c r="M1049" t="s">
        <v>116</v>
      </c>
      <c r="N1049">
        <v>9</v>
      </c>
      <c r="O1049" t="s">
        <v>117</v>
      </c>
      <c r="P1049" s="11">
        <v>5900</v>
      </c>
      <c r="Q1049" t="s">
        <v>157</v>
      </c>
      <c r="R1049" s="11">
        <f t="shared" si="32"/>
        <v>5900</v>
      </c>
      <c r="S1049" t="str">
        <f t="shared" si="33"/>
        <v>One-Time</v>
      </c>
    </row>
    <row r="1050" spans="1:19" ht="15" customHeight="1" x14ac:dyDescent="0.3">
      <c r="A1050">
        <v>1049</v>
      </c>
      <c r="B1050" t="s">
        <v>1477</v>
      </c>
      <c r="C1050">
        <v>3240121</v>
      </c>
      <c r="D1050" t="s">
        <v>114</v>
      </c>
      <c r="E1050">
        <v>41</v>
      </c>
      <c r="F1050" t="s">
        <v>76</v>
      </c>
      <c r="G1050" s="10">
        <v>45326</v>
      </c>
      <c r="H1050" t="s">
        <v>38</v>
      </c>
      <c r="I1050" t="s">
        <v>83</v>
      </c>
      <c r="J1050" t="s">
        <v>47</v>
      </c>
      <c r="K1050" t="s">
        <v>196</v>
      </c>
      <c r="L1050" t="s">
        <v>59</v>
      </c>
      <c r="M1050" t="s">
        <v>116</v>
      </c>
      <c r="N1050">
        <v>4</v>
      </c>
      <c r="O1050" t="s">
        <v>117</v>
      </c>
      <c r="P1050" s="11">
        <v>5900</v>
      </c>
      <c r="Q1050" t="s">
        <v>62</v>
      </c>
      <c r="R1050" s="11">
        <f t="shared" si="32"/>
        <v>0</v>
      </c>
      <c r="S1050" t="str">
        <f t="shared" si="33"/>
        <v>One-Time</v>
      </c>
    </row>
    <row r="1051" spans="1:19" ht="15" customHeight="1" x14ac:dyDescent="0.3">
      <c r="A1051">
        <v>1050</v>
      </c>
      <c r="B1051" t="s">
        <v>1478</v>
      </c>
      <c r="C1051">
        <v>9995247</v>
      </c>
      <c r="D1051" t="s">
        <v>114</v>
      </c>
      <c r="E1051">
        <v>28</v>
      </c>
      <c r="F1051" t="s">
        <v>75</v>
      </c>
      <c r="G1051" s="10">
        <v>45326</v>
      </c>
      <c r="H1051" t="s">
        <v>38</v>
      </c>
      <c r="I1051" t="s">
        <v>82</v>
      </c>
      <c r="J1051" t="s">
        <v>47</v>
      </c>
      <c r="K1051" t="s">
        <v>196</v>
      </c>
      <c r="L1051" t="s">
        <v>59</v>
      </c>
      <c r="M1051" t="s">
        <v>116</v>
      </c>
      <c r="N1051">
        <v>7</v>
      </c>
      <c r="O1051" t="s">
        <v>117</v>
      </c>
      <c r="P1051" s="11">
        <v>5900</v>
      </c>
      <c r="Q1051" t="s">
        <v>1479</v>
      </c>
      <c r="R1051" s="11">
        <f t="shared" si="32"/>
        <v>5900</v>
      </c>
      <c r="S1051" t="str">
        <f t="shared" si="33"/>
        <v>One-Time</v>
      </c>
    </row>
    <row r="1052" spans="1:19" ht="15" customHeight="1" x14ac:dyDescent="0.3">
      <c r="A1052">
        <v>1051</v>
      </c>
      <c r="B1052" t="s">
        <v>1480</v>
      </c>
      <c r="C1052">
        <v>2713312</v>
      </c>
      <c r="D1052" t="s">
        <v>114</v>
      </c>
      <c r="E1052">
        <v>30</v>
      </c>
      <c r="F1052" t="s">
        <v>76</v>
      </c>
      <c r="G1052" s="10">
        <v>45326</v>
      </c>
      <c r="H1052" t="s">
        <v>38</v>
      </c>
      <c r="I1052" t="s">
        <v>83</v>
      </c>
      <c r="J1052" t="s">
        <v>47</v>
      </c>
      <c r="K1052" t="s">
        <v>196</v>
      </c>
      <c r="L1052" t="s">
        <v>59</v>
      </c>
      <c r="M1052" t="s">
        <v>116</v>
      </c>
      <c r="N1052">
        <v>8</v>
      </c>
      <c r="O1052" t="s">
        <v>117</v>
      </c>
      <c r="P1052" s="11">
        <v>5900</v>
      </c>
      <c r="Q1052" t="s">
        <v>1481</v>
      </c>
      <c r="R1052" s="11">
        <f t="shared" si="32"/>
        <v>0</v>
      </c>
      <c r="S1052" t="str">
        <f t="shared" si="33"/>
        <v>One-Time</v>
      </c>
    </row>
    <row r="1053" spans="1:19" ht="15" customHeight="1" x14ac:dyDescent="0.3">
      <c r="A1053">
        <v>1052</v>
      </c>
      <c r="B1053" t="s">
        <v>1482</v>
      </c>
      <c r="C1053">
        <v>8150725</v>
      </c>
      <c r="D1053" t="s">
        <v>114</v>
      </c>
      <c r="E1053">
        <v>42</v>
      </c>
      <c r="F1053" t="s">
        <v>76</v>
      </c>
      <c r="G1053" s="10">
        <v>45326</v>
      </c>
      <c r="H1053" t="s">
        <v>38</v>
      </c>
      <c r="I1053" t="s">
        <v>82</v>
      </c>
      <c r="J1053" t="s">
        <v>47</v>
      </c>
      <c r="K1053" t="s">
        <v>196</v>
      </c>
      <c r="L1053" t="s">
        <v>59</v>
      </c>
      <c r="M1053" t="s">
        <v>116</v>
      </c>
      <c r="N1053">
        <v>32</v>
      </c>
      <c r="O1053" t="s">
        <v>117</v>
      </c>
      <c r="P1053" s="11">
        <v>5900</v>
      </c>
      <c r="Q1053" t="s">
        <v>65</v>
      </c>
      <c r="R1053" s="11">
        <f t="shared" si="32"/>
        <v>5900</v>
      </c>
      <c r="S1053" t="str">
        <f t="shared" si="33"/>
        <v>One-Time</v>
      </c>
    </row>
    <row r="1054" spans="1:19" ht="15" customHeight="1" x14ac:dyDescent="0.3">
      <c r="A1054">
        <v>1053</v>
      </c>
      <c r="B1054" t="s">
        <v>1483</v>
      </c>
      <c r="C1054">
        <v>5211914</v>
      </c>
      <c r="D1054" t="s">
        <v>114</v>
      </c>
      <c r="E1054">
        <v>65</v>
      </c>
      <c r="F1054" t="s">
        <v>77</v>
      </c>
      <c r="G1054" s="10">
        <v>45326</v>
      </c>
      <c r="H1054" t="s">
        <v>38</v>
      </c>
      <c r="I1054" t="s">
        <v>82</v>
      </c>
      <c r="J1054" t="s">
        <v>47</v>
      </c>
      <c r="K1054" t="s">
        <v>196</v>
      </c>
      <c r="L1054" t="s">
        <v>59</v>
      </c>
      <c r="M1054" t="s">
        <v>116</v>
      </c>
      <c r="N1054">
        <v>3</v>
      </c>
      <c r="O1054" t="s">
        <v>117</v>
      </c>
      <c r="P1054" s="11">
        <v>5900</v>
      </c>
      <c r="Q1054" t="s">
        <v>435</v>
      </c>
      <c r="R1054" s="11">
        <f t="shared" si="32"/>
        <v>5900</v>
      </c>
      <c r="S1054" t="str">
        <f t="shared" si="33"/>
        <v>One-Time</v>
      </c>
    </row>
    <row r="1055" spans="1:19" ht="15" customHeight="1" x14ac:dyDescent="0.3">
      <c r="A1055">
        <v>1054</v>
      </c>
      <c r="B1055" t="s">
        <v>1484</v>
      </c>
      <c r="C1055">
        <v>3446819</v>
      </c>
      <c r="D1055" t="s">
        <v>114</v>
      </c>
      <c r="E1055">
        <v>21</v>
      </c>
      <c r="F1055" t="s">
        <v>75</v>
      </c>
      <c r="G1055" s="10">
        <v>45326</v>
      </c>
      <c r="H1055" t="s">
        <v>38</v>
      </c>
      <c r="I1055" t="s">
        <v>82</v>
      </c>
      <c r="J1055" t="s">
        <v>47</v>
      </c>
      <c r="K1055" t="s">
        <v>196</v>
      </c>
      <c r="L1055" t="s">
        <v>59</v>
      </c>
      <c r="M1055" t="s">
        <v>116</v>
      </c>
      <c r="N1055">
        <v>48</v>
      </c>
      <c r="O1055" t="s">
        <v>117</v>
      </c>
      <c r="P1055" s="11">
        <v>5900</v>
      </c>
      <c r="Q1055" t="s">
        <v>63</v>
      </c>
      <c r="R1055" s="11">
        <f t="shared" si="32"/>
        <v>5900</v>
      </c>
      <c r="S1055" t="str">
        <f t="shared" si="33"/>
        <v>Repeat</v>
      </c>
    </row>
    <row r="1056" spans="1:19" ht="15" customHeight="1" x14ac:dyDescent="0.3">
      <c r="A1056">
        <v>1055</v>
      </c>
      <c r="B1056" t="s">
        <v>1484</v>
      </c>
      <c r="C1056">
        <v>3446819</v>
      </c>
      <c r="D1056" t="s">
        <v>114</v>
      </c>
      <c r="E1056">
        <v>22</v>
      </c>
      <c r="F1056" t="s">
        <v>75</v>
      </c>
      <c r="G1056" s="10">
        <v>45326</v>
      </c>
      <c r="H1056" t="s">
        <v>38</v>
      </c>
      <c r="I1056" t="s">
        <v>82</v>
      </c>
      <c r="J1056" t="s">
        <v>47</v>
      </c>
      <c r="K1056" t="s">
        <v>196</v>
      </c>
      <c r="L1056" t="s">
        <v>59</v>
      </c>
      <c r="M1056" t="s">
        <v>116</v>
      </c>
      <c r="N1056">
        <v>5</v>
      </c>
      <c r="O1056" t="s">
        <v>117</v>
      </c>
      <c r="P1056" s="11">
        <v>5900</v>
      </c>
      <c r="Q1056" t="s">
        <v>62</v>
      </c>
      <c r="R1056" s="11">
        <f t="shared" si="32"/>
        <v>5900</v>
      </c>
      <c r="S1056" t="str">
        <f t="shared" si="33"/>
        <v>Repeat</v>
      </c>
    </row>
    <row r="1057" spans="1:19" ht="15" customHeight="1" x14ac:dyDescent="0.3">
      <c r="A1057">
        <v>1056</v>
      </c>
      <c r="B1057" t="s">
        <v>1485</v>
      </c>
      <c r="C1057">
        <v>507148</v>
      </c>
      <c r="D1057" t="s">
        <v>114</v>
      </c>
      <c r="E1057">
        <v>32</v>
      </c>
      <c r="F1057" t="s">
        <v>76</v>
      </c>
      <c r="G1057" s="10">
        <v>45326</v>
      </c>
      <c r="H1057" t="s">
        <v>38</v>
      </c>
      <c r="I1057" t="s">
        <v>82</v>
      </c>
      <c r="J1057" t="s">
        <v>47</v>
      </c>
      <c r="K1057" t="s">
        <v>196</v>
      </c>
      <c r="L1057" t="s">
        <v>59</v>
      </c>
      <c r="M1057" t="s">
        <v>116</v>
      </c>
      <c r="N1057">
        <v>2</v>
      </c>
      <c r="O1057" t="s">
        <v>117</v>
      </c>
      <c r="P1057" s="11">
        <v>5900</v>
      </c>
      <c r="Q1057" t="s">
        <v>64</v>
      </c>
      <c r="R1057" s="11">
        <f t="shared" si="32"/>
        <v>5900</v>
      </c>
      <c r="S1057" t="str">
        <f t="shared" si="33"/>
        <v>Repeat</v>
      </c>
    </row>
    <row r="1058" spans="1:19" ht="15" customHeight="1" x14ac:dyDescent="0.3">
      <c r="A1058">
        <v>1057</v>
      </c>
      <c r="B1058" t="s">
        <v>1485</v>
      </c>
      <c r="C1058">
        <v>507148</v>
      </c>
      <c r="D1058" t="s">
        <v>114</v>
      </c>
      <c r="E1058">
        <v>69</v>
      </c>
      <c r="F1058" t="s">
        <v>77</v>
      </c>
      <c r="G1058" s="10">
        <v>45326</v>
      </c>
      <c r="H1058" t="s">
        <v>38</v>
      </c>
      <c r="I1058" t="s">
        <v>82</v>
      </c>
      <c r="J1058" t="s">
        <v>47</v>
      </c>
      <c r="K1058" t="s">
        <v>196</v>
      </c>
      <c r="L1058" t="s">
        <v>59</v>
      </c>
      <c r="M1058" t="s">
        <v>116</v>
      </c>
      <c r="N1058">
        <v>9</v>
      </c>
      <c r="O1058" t="s">
        <v>117</v>
      </c>
      <c r="P1058" s="11">
        <v>5900</v>
      </c>
      <c r="Q1058" t="s">
        <v>65</v>
      </c>
      <c r="R1058" s="11">
        <f t="shared" si="32"/>
        <v>5900</v>
      </c>
      <c r="S1058" t="str">
        <f t="shared" si="33"/>
        <v>Repeat</v>
      </c>
    </row>
    <row r="1059" spans="1:19" ht="15" customHeight="1" x14ac:dyDescent="0.3">
      <c r="A1059">
        <v>1058</v>
      </c>
      <c r="B1059" t="s">
        <v>1486</v>
      </c>
      <c r="C1059">
        <v>1462525</v>
      </c>
      <c r="D1059" t="s">
        <v>114</v>
      </c>
      <c r="E1059">
        <v>37</v>
      </c>
      <c r="F1059" t="s">
        <v>76</v>
      </c>
      <c r="G1059" s="10">
        <v>45326</v>
      </c>
      <c r="H1059" t="s">
        <v>38</v>
      </c>
      <c r="I1059" t="s">
        <v>82</v>
      </c>
      <c r="J1059" t="s">
        <v>47</v>
      </c>
      <c r="K1059" t="s">
        <v>196</v>
      </c>
      <c r="L1059" t="s">
        <v>59</v>
      </c>
      <c r="M1059" t="s">
        <v>116</v>
      </c>
      <c r="N1059">
        <v>7</v>
      </c>
      <c r="O1059" t="s">
        <v>117</v>
      </c>
      <c r="P1059" s="11">
        <v>5900</v>
      </c>
      <c r="Q1059" t="s">
        <v>613</v>
      </c>
      <c r="R1059" s="11">
        <f t="shared" si="32"/>
        <v>5900</v>
      </c>
      <c r="S1059" t="str">
        <f t="shared" si="33"/>
        <v>One-Time</v>
      </c>
    </row>
    <row r="1060" spans="1:19" ht="15" customHeight="1" x14ac:dyDescent="0.3">
      <c r="A1060">
        <v>1059</v>
      </c>
      <c r="B1060" t="s">
        <v>1487</v>
      </c>
      <c r="C1060">
        <v>5162864</v>
      </c>
      <c r="D1060" t="s">
        <v>114</v>
      </c>
      <c r="E1060">
        <v>20</v>
      </c>
      <c r="F1060" t="s">
        <v>75</v>
      </c>
      <c r="G1060" s="10">
        <v>45326</v>
      </c>
      <c r="H1060" t="s">
        <v>38</v>
      </c>
      <c r="I1060" t="s">
        <v>82</v>
      </c>
      <c r="J1060" t="s">
        <v>47</v>
      </c>
      <c r="K1060" t="s">
        <v>196</v>
      </c>
      <c r="L1060" t="s">
        <v>59</v>
      </c>
      <c r="M1060" t="s">
        <v>116</v>
      </c>
      <c r="N1060">
        <v>2</v>
      </c>
      <c r="O1060" t="s">
        <v>117</v>
      </c>
      <c r="P1060" s="11">
        <v>5900</v>
      </c>
      <c r="Q1060" t="s">
        <v>1270</v>
      </c>
      <c r="R1060" s="11">
        <f t="shared" si="32"/>
        <v>5900</v>
      </c>
      <c r="S1060" t="str">
        <f t="shared" si="33"/>
        <v>One-Time</v>
      </c>
    </row>
    <row r="1061" spans="1:19" ht="15" customHeight="1" x14ac:dyDescent="0.3">
      <c r="A1061">
        <v>1060</v>
      </c>
      <c r="B1061" t="s">
        <v>1488</v>
      </c>
      <c r="C1061">
        <v>277376</v>
      </c>
      <c r="D1061" t="s">
        <v>114</v>
      </c>
      <c r="E1061">
        <v>50</v>
      </c>
      <c r="F1061" t="s">
        <v>77</v>
      </c>
      <c r="G1061" s="10">
        <v>45326</v>
      </c>
      <c r="H1061" t="s">
        <v>38</v>
      </c>
      <c r="I1061" t="s">
        <v>82</v>
      </c>
      <c r="J1061" t="s">
        <v>47</v>
      </c>
      <c r="K1061" t="s">
        <v>196</v>
      </c>
      <c r="L1061" t="s">
        <v>59</v>
      </c>
      <c r="M1061" t="s">
        <v>116</v>
      </c>
      <c r="N1061">
        <v>8</v>
      </c>
      <c r="O1061" t="s">
        <v>117</v>
      </c>
      <c r="P1061" s="11">
        <v>5900</v>
      </c>
      <c r="Q1061" t="s">
        <v>65</v>
      </c>
      <c r="R1061" s="11">
        <f t="shared" si="32"/>
        <v>5900</v>
      </c>
      <c r="S1061" t="str">
        <f t="shared" si="33"/>
        <v>One-Time</v>
      </c>
    </row>
    <row r="1062" spans="1:19" ht="15" customHeight="1" x14ac:dyDescent="0.3">
      <c r="A1062">
        <v>1061</v>
      </c>
      <c r="B1062" t="s">
        <v>1489</v>
      </c>
      <c r="C1062">
        <v>822699</v>
      </c>
      <c r="D1062" t="s">
        <v>114</v>
      </c>
      <c r="E1062">
        <v>41</v>
      </c>
      <c r="F1062" t="s">
        <v>76</v>
      </c>
      <c r="G1062" s="10">
        <v>45326</v>
      </c>
      <c r="H1062" t="s">
        <v>38</v>
      </c>
      <c r="I1062" t="s">
        <v>82</v>
      </c>
      <c r="J1062" t="s">
        <v>47</v>
      </c>
      <c r="K1062" t="s">
        <v>196</v>
      </c>
      <c r="L1062" t="s">
        <v>59</v>
      </c>
      <c r="M1062" t="s">
        <v>116</v>
      </c>
      <c r="N1062">
        <v>4</v>
      </c>
      <c r="O1062" t="s">
        <v>117</v>
      </c>
      <c r="P1062" s="11">
        <v>6600</v>
      </c>
      <c r="Q1062" t="s">
        <v>1490</v>
      </c>
      <c r="R1062" s="11">
        <f t="shared" si="32"/>
        <v>6600</v>
      </c>
      <c r="S1062" t="str">
        <f t="shared" si="33"/>
        <v>One-Time</v>
      </c>
    </row>
    <row r="1063" spans="1:19" ht="15" customHeight="1" x14ac:dyDescent="0.3">
      <c r="A1063">
        <v>1062</v>
      </c>
      <c r="B1063" t="s">
        <v>1491</v>
      </c>
      <c r="C1063">
        <v>5091416</v>
      </c>
      <c r="D1063" t="s">
        <v>114</v>
      </c>
      <c r="E1063">
        <v>48</v>
      </c>
      <c r="F1063" t="s">
        <v>76</v>
      </c>
      <c r="G1063" s="10">
        <v>45326</v>
      </c>
      <c r="H1063" t="s">
        <v>38</v>
      </c>
      <c r="I1063" t="s">
        <v>82</v>
      </c>
      <c r="J1063" t="s">
        <v>47</v>
      </c>
      <c r="K1063" t="s">
        <v>196</v>
      </c>
      <c r="L1063" t="s">
        <v>59</v>
      </c>
      <c r="M1063" t="s">
        <v>116</v>
      </c>
      <c r="N1063">
        <v>5</v>
      </c>
      <c r="O1063" t="s">
        <v>117</v>
      </c>
      <c r="P1063" s="11">
        <v>6600</v>
      </c>
      <c r="Q1063" t="s">
        <v>1492</v>
      </c>
      <c r="R1063" s="11">
        <f t="shared" si="32"/>
        <v>6600</v>
      </c>
      <c r="S1063" t="str">
        <f t="shared" si="33"/>
        <v>One-Time</v>
      </c>
    </row>
    <row r="1064" spans="1:19" ht="15" customHeight="1" x14ac:dyDescent="0.3">
      <c r="A1064">
        <v>1063</v>
      </c>
      <c r="B1064" t="s">
        <v>1493</v>
      </c>
      <c r="C1064">
        <v>9647815</v>
      </c>
      <c r="D1064" t="s">
        <v>114</v>
      </c>
      <c r="E1064">
        <v>33</v>
      </c>
      <c r="F1064" t="s">
        <v>76</v>
      </c>
      <c r="G1064" s="10">
        <v>45326</v>
      </c>
      <c r="H1064" t="s">
        <v>38</v>
      </c>
      <c r="I1064" t="s">
        <v>82</v>
      </c>
      <c r="J1064" t="s">
        <v>47</v>
      </c>
      <c r="K1064" t="s">
        <v>196</v>
      </c>
      <c r="L1064" t="s">
        <v>59</v>
      </c>
      <c r="M1064" t="s">
        <v>116</v>
      </c>
      <c r="N1064">
        <v>6</v>
      </c>
      <c r="O1064" t="s">
        <v>117</v>
      </c>
      <c r="P1064" s="11">
        <v>6600</v>
      </c>
      <c r="Q1064" t="s">
        <v>1494</v>
      </c>
      <c r="R1064" s="11">
        <f t="shared" si="32"/>
        <v>6600</v>
      </c>
      <c r="S1064" t="str">
        <f t="shared" si="33"/>
        <v>One-Time</v>
      </c>
    </row>
    <row r="1065" spans="1:19" ht="15" customHeight="1" x14ac:dyDescent="0.3">
      <c r="A1065">
        <v>1064</v>
      </c>
      <c r="B1065" t="s">
        <v>1495</v>
      </c>
      <c r="C1065">
        <v>159818</v>
      </c>
      <c r="D1065" t="s">
        <v>114</v>
      </c>
      <c r="E1065">
        <v>38</v>
      </c>
      <c r="F1065" t="s">
        <v>76</v>
      </c>
      <c r="G1065" s="10">
        <v>45326</v>
      </c>
      <c r="H1065" t="s">
        <v>38</v>
      </c>
      <c r="I1065" t="s">
        <v>82</v>
      </c>
      <c r="J1065" t="s">
        <v>47</v>
      </c>
      <c r="K1065" t="s">
        <v>196</v>
      </c>
      <c r="L1065" t="s">
        <v>59</v>
      </c>
      <c r="M1065" t="s">
        <v>116</v>
      </c>
      <c r="N1065">
        <v>31</v>
      </c>
      <c r="O1065" t="s">
        <v>117</v>
      </c>
      <c r="P1065" s="11">
        <v>6600</v>
      </c>
      <c r="Q1065" t="s">
        <v>1496</v>
      </c>
      <c r="R1065" s="11">
        <f t="shared" si="32"/>
        <v>6600</v>
      </c>
      <c r="S1065" t="str">
        <f t="shared" si="33"/>
        <v>One-Time</v>
      </c>
    </row>
    <row r="1066" spans="1:19" ht="15" customHeight="1" x14ac:dyDescent="0.3">
      <c r="A1066">
        <v>1065</v>
      </c>
      <c r="B1066" t="s">
        <v>1497</v>
      </c>
      <c r="C1066">
        <v>9772395</v>
      </c>
      <c r="D1066" t="s">
        <v>114</v>
      </c>
      <c r="E1066">
        <v>67</v>
      </c>
      <c r="F1066" t="s">
        <v>77</v>
      </c>
      <c r="G1066" s="10">
        <v>45326</v>
      </c>
      <c r="H1066" t="s">
        <v>38</v>
      </c>
      <c r="I1066" t="s">
        <v>82</v>
      </c>
      <c r="J1066" t="s">
        <v>47</v>
      </c>
      <c r="K1066" t="s">
        <v>196</v>
      </c>
      <c r="L1066" t="s">
        <v>59</v>
      </c>
      <c r="M1066" t="s">
        <v>116</v>
      </c>
      <c r="N1066">
        <v>2</v>
      </c>
      <c r="O1066" t="s">
        <v>117</v>
      </c>
      <c r="P1066" s="11">
        <v>6600</v>
      </c>
      <c r="Q1066" t="s">
        <v>65</v>
      </c>
      <c r="R1066" s="11">
        <f t="shared" si="32"/>
        <v>6600</v>
      </c>
      <c r="S1066" t="str">
        <f t="shared" si="33"/>
        <v>One-Time</v>
      </c>
    </row>
    <row r="1067" spans="1:19" ht="15" customHeight="1" x14ac:dyDescent="0.3">
      <c r="A1067">
        <v>1066</v>
      </c>
      <c r="B1067" t="s">
        <v>1498</v>
      </c>
      <c r="C1067">
        <v>6798354</v>
      </c>
      <c r="D1067" t="s">
        <v>114</v>
      </c>
      <c r="E1067">
        <v>27</v>
      </c>
      <c r="F1067" t="s">
        <v>75</v>
      </c>
      <c r="G1067" s="10">
        <v>45326</v>
      </c>
      <c r="H1067" t="s">
        <v>38</v>
      </c>
      <c r="I1067" t="s">
        <v>82</v>
      </c>
      <c r="J1067" t="s">
        <v>47</v>
      </c>
      <c r="K1067" t="s">
        <v>196</v>
      </c>
      <c r="L1067" t="s">
        <v>59</v>
      </c>
      <c r="M1067" t="s">
        <v>116</v>
      </c>
      <c r="N1067">
        <v>5</v>
      </c>
      <c r="O1067" t="s">
        <v>117</v>
      </c>
      <c r="P1067" s="11">
        <v>6600</v>
      </c>
      <c r="Q1067" t="s">
        <v>66</v>
      </c>
      <c r="R1067" s="11">
        <f t="shared" si="32"/>
        <v>6600</v>
      </c>
      <c r="S1067" t="str">
        <f t="shared" si="33"/>
        <v>One-Time</v>
      </c>
    </row>
    <row r="1068" spans="1:19" ht="15" customHeight="1" x14ac:dyDescent="0.3">
      <c r="A1068">
        <v>1067</v>
      </c>
      <c r="B1068" t="s">
        <v>1499</v>
      </c>
      <c r="C1068">
        <v>1332654</v>
      </c>
      <c r="D1068" t="s">
        <v>114</v>
      </c>
      <c r="E1068">
        <v>29</v>
      </c>
      <c r="F1068" t="s">
        <v>75</v>
      </c>
      <c r="G1068" s="10">
        <v>45326</v>
      </c>
      <c r="H1068" t="s">
        <v>38</v>
      </c>
      <c r="I1068" t="s">
        <v>82</v>
      </c>
      <c r="J1068" t="s">
        <v>47</v>
      </c>
      <c r="K1068" t="s">
        <v>196</v>
      </c>
      <c r="L1068" t="s">
        <v>59</v>
      </c>
      <c r="M1068" t="s">
        <v>116</v>
      </c>
      <c r="N1068">
        <v>5</v>
      </c>
      <c r="O1068" t="s">
        <v>117</v>
      </c>
      <c r="P1068" s="11">
        <v>6600</v>
      </c>
      <c r="Q1068" t="s">
        <v>62</v>
      </c>
      <c r="R1068" s="11">
        <f t="shared" si="32"/>
        <v>6600</v>
      </c>
      <c r="S1068" t="str">
        <f t="shared" si="33"/>
        <v>One-Time</v>
      </c>
    </row>
    <row r="1069" spans="1:19" ht="15" customHeight="1" x14ac:dyDescent="0.3">
      <c r="A1069">
        <v>1068</v>
      </c>
      <c r="B1069" t="s">
        <v>1500</v>
      </c>
      <c r="C1069">
        <v>525055</v>
      </c>
      <c r="D1069" t="s">
        <v>114</v>
      </c>
      <c r="E1069">
        <v>68</v>
      </c>
      <c r="F1069" t="s">
        <v>77</v>
      </c>
      <c r="G1069" s="10">
        <v>45326</v>
      </c>
      <c r="H1069" t="s">
        <v>38</v>
      </c>
      <c r="I1069" t="s">
        <v>85</v>
      </c>
      <c r="J1069" t="s">
        <v>47</v>
      </c>
      <c r="K1069" t="s">
        <v>196</v>
      </c>
      <c r="L1069" t="s">
        <v>59</v>
      </c>
      <c r="M1069" t="s">
        <v>116</v>
      </c>
      <c r="N1069">
        <v>8</v>
      </c>
      <c r="O1069" t="s">
        <v>117</v>
      </c>
      <c r="P1069" s="11">
        <v>6600</v>
      </c>
      <c r="Q1069" t="s">
        <v>1501</v>
      </c>
      <c r="R1069" s="11">
        <f t="shared" si="32"/>
        <v>0</v>
      </c>
      <c r="S1069" t="str">
        <f t="shared" si="33"/>
        <v>One-Time</v>
      </c>
    </row>
    <row r="1070" spans="1:19" ht="15" customHeight="1" x14ac:dyDescent="0.3">
      <c r="A1070">
        <v>1069</v>
      </c>
      <c r="B1070" t="s">
        <v>1502</v>
      </c>
      <c r="C1070">
        <v>4949647</v>
      </c>
      <c r="D1070" t="s">
        <v>114</v>
      </c>
      <c r="E1070">
        <v>25</v>
      </c>
      <c r="F1070" t="s">
        <v>75</v>
      </c>
      <c r="G1070" s="10">
        <v>45326</v>
      </c>
      <c r="H1070" t="s">
        <v>38</v>
      </c>
      <c r="I1070" t="s">
        <v>82</v>
      </c>
      <c r="J1070" t="s">
        <v>47</v>
      </c>
      <c r="K1070" t="s">
        <v>196</v>
      </c>
      <c r="L1070" t="s">
        <v>59</v>
      </c>
      <c r="M1070" t="s">
        <v>116</v>
      </c>
      <c r="N1070">
        <v>9</v>
      </c>
      <c r="O1070" t="s">
        <v>117</v>
      </c>
      <c r="P1070" s="11">
        <v>6600</v>
      </c>
      <c r="Q1070" t="s">
        <v>1503</v>
      </c>
      <c r="R1070" s="11">
        <f t="shared" si="32"/>
        <v>6600</v>
      </c>
      <c r="S1070" t="str">
        <f t="shared" si="33"/>
        <v>One-Time</v>
      </c>
    </row>
    <row r="1071" spans="1:19" ht="15" customHeight="1" x14ac:dyDescent="0.3">
      <c r="A1071">
        <v>1070</v>
      </c>
      <c r="B1071" t="s">
        <v>1504</v>
      </c>
      <c r="C1071">
        <v>5718861</v>
      </c>
      <c r="D1071" t="s">
        <v>114</v>
      </c>
      <c r="E1071">
        <v>39</v>
      </c>
      <c r="F1071" t="s">
        <v>76</v>
      </c>
      <c r="G1071" s="10">
        <v>45326</v>
      </c>
      <c r="H1071" t="s">
        <v>38</v>
      </c>
      <c r="I1071" t="s">
        <v>82</v>
      </c>
      <c r="J1071" t="s">
        <v>47</v>
      </c>
      <c r="K1071" t="s">
        <v>196</v>
      </c>
      <c r="L1071" t="s">
        <v>59</v>
      </c>
      <c r="M1071" t="s">
        <v>116</v>
      </c>
      <c r="N1071">
        <v>8</v>
      </c>
      <c r="O1071" t="s">
        <v>117</v>
      </c>
      <c r="P1071" s="11">
        <v>6600</v>
      </c>
      <c r="Q1071" t="s">
        <v>64</v>
      </c>
      <c r="R1071" s="11">
        <f t="shared" si="32"/>
        <v>6600</v>
      </c>
      <c r="S1071" t="str">
        <f t="shared" si="33"/>
        <v>One-Time</v>
      </c>
    </row>
    <row r="1072" spans="1:19" ht="15" customHeight="1" x14ac:dyDescent="0.3">
      <c r="A1072">
        <v>1071</v>
      </c>
      <c r="B1072" t="s">
        <v>1505</v>
      </c>
      <c r="C1072">
        <v>2491025</v>
      </c>
      <c r="D1072" t="s">
        <v>114</v>
      </c>
      <c r="E1072">
        <v>43</v>
      </c>
      <c r="F1072" t="s">
        <v>76</v>
      </c>
      <c r="G1072" s="10">
        <v>45326</v>
      </c>
      <c r="H1072" t="s">
        <v>38</v>
      </c>
      <c r="I1072" t="s">
        <v>82</v>
      </c>
      <c r="J1072" t="s">
        <v>47</v>
      </c>
      <c r="K1072" t="s">
        <v>196</v>
      </c>
      <c r="L1072" t="s">
        <v>59</v>
      </c>
      <c r="M1072" t="s">
        <v>116</v>
      </c>
      <c r="N1072">
        <v>3</v>
      </c>
      <c r="O1072" t="s">
        <v>117</v>
      </c>
      <c r="P1072" s="11">
        <v>6600</v>
      </c>
      <c r="Q1072" t="s">
        <v>70</v>
      </c>
      <c r="R1072" s="11">
        <f t="shared" si="32"/>
        <v>6600</v>
      </c>
      <c r="S1072" t="str">
        <f t="shared" si="33"/>
        <v>Repeat</v>
      </c>
    </row>
    <row r="1073" spans="1:19" ht="15" customHeight="1" x14ac:dyDescent="0.3">
      <c r="A1073">
        <v>1072</v>
      </c>
      <c r="B1073" t="s">
        <v>1505</v>
      </c>
      <c r="C1073">
        <v>2491025</v>
      </c>
      <c r="D1073" t="s">
        <v>114</v>
      </c>
      <c r="E1073">
        <v>25</v>
      </c>
      <c r="F1073" t="s">
        <v>75</v>
      </c>
      <c r="G1073" s="10">
        <v>45326</v>
      </c>
      <c r="H1073" t="s">
        <v>38</v>
      </c>
      <c r="I1073" t="s">
        <v>82</v>
      </c>
      <c r="J1073" t="s">
        <v>47</v>
      </c>
      <c r="K1073" t="s">
        <v>179</v>
      </c>
      <c r="L1073" t="s">
        <v>59</v>
      </c>
      <c r="M1073" t="s">
        <v>116</v>
      </c>
      <c r="N1073">
        <v>4</v>
      </c>
      <c r="O1073" t="s">
        <v>117</v>
      </c>
      <c r="P1073" s="11">
        <v>6600</v>
      </c>
      <c r="Q1073" t="s">
        <v>886</v>
      </c>
      <c r="R1073" s="11">
        <f t="shared" si="32"/>
        <v>6600</v>
      </c>
      <c r="S1073" t="str">
        <f t="shared" si="33"/>
        <v>Repeat</v>
      </c>
    </row>
    <row r="1074" spans="1:19" ht="15" customHeight="1" x14ac:dyDescent="0.3">
      <c r="A1074">
        <v>1073</v>
      </c>
      <c r="B1074" t="s">
        <v>1506</v>
      </c>
      <c r="C1074">
        <v>3017669</v>
      </c>
      <c r="D1074" t="s">
        <v>114</v>
      </c>
      <c r="E1074">
        <v>44</v>
      </c>
      <c r="F1074" t="s">
        <v>76</v>
      </c>
      <c r="G1074" s="10">
        <v>45326</v>
      </c>
      <c r="H1074" t="s">
        <v>38</v>
      </c>
      <c r="I1074" t="s">
        <v>82</v>
      </c>
      <c r="J1074" t="s">
        <v>47</v>
      </c>
      <c r="K1074" t="s">
        <v>179</v>
      </c>
      <c r="L1074" t="s">
        <v>59</v>
      </c>
      <c r="M1074" t="s">
        <v>116</v>
      </c>
      <c r="N1074">
        <v>4</v>
      </c>
      <c r="O1074" t="s">
        <v>117</v>
      </c>
      <c r="P1074" s="11">
        <v>6600</v>
      </c>
      <c r="Q1074" t="s">
        <v>1507</v>
      </c>
      <c r="R1074" s="11">
        <f t="shared" si="32"/>
        <v>6600</v>
      </c>
      <c r="S1074" t="str">
        <f t="shared" si="33"/>
        <v>One-Time</v>
      </c>
    </row>
    <row r="1075" spans="1:19" ht="15" customHeight="1" x14ac:dyDescent="0.3">
      <c r="A1075">
        <v>1074</v>
      </c>
      <c r="B1075" t="s">
        <v>1508</v>
      </c>
      <c r="C1075">
        <v>490921</v>
      </c>
      <c r="D1075" t="s">
        <v>114</v>
      </c>
      <c r="E1075">
        <v>35</v>
      </c>
      <c r="F1075" t="s">
        <v>76</v>
      </c>
      <c r="G1075" s="10">
        <v>45326</v>
      </c>
      <c r="H1075" t="s">
        <v>38</v>
      </c>
      <c r="I1075" t="s">
        <v>82</v>
      </c>
      <c r="J1075" t="s">
        <v>47</v>
      </c>
      <c r="K1075" t="s">
        <v>179</v>
      </c>
      <c r="L1075" t="s">
        <v>59</v>
      </c>
      <c r="M1075" t="s">
        <v>116</v>
      </c>
      <c r="N1075">
        <v>9</v>
      </c>
      <c r="O1075" t="s">
        <v>117</v>
      </c>
      <c r="P1075" s="11">
        <v>6600</v>
      </c>
      <c r="Q1075" t="s">
        <v>1509</v>
      </c>
      <c r="R1075" s="11">
        <f t="shared" si="32"/>
        <v>6600</v>
      </c>
      <c r="S1075" t="str">
        <f t="shared" si="33"/>
        <v>One-Time</v>
      </c>
    </row>
    <row r="1076" spans="1:19" ht="15" customHeight="1" x14ac:dyDescent="0.3">
      <c r="A1076">
        <v>1075</v>
      </c>
      <c r="B1076" t="s">
        <v>1510</v>
      </c>
      <c r="C1076">
        <v>5444548</v>
      </c>
      <c r="D1076" t="s">
        <v>114</v>
      </c>
      <c r="E1076">
        <v>29</v>
      </c>
      <c r="F1076" t="s">
        <v>75</v>
      </c>
      <c r="G1076" s="10">
        <v>45326</v>
      </c>
      <c r="H1076" t="s">
        <v>38</v>
      </c>
      <c r="I1076" t="s">
        <v>82</v>
      </c>
      <c r="J1076" t="s">
        <v>47</v>
      </c>
      <c r="K1076" t="s">
        <v>179</v>
      </c>
      <c r="L1076" t="s">
        <v>59</v>
      </c>
      <c r="M1076" t="s">
        <v>116</v>
      </c>
      <c r="N1076">
        <v>8</v>
      </c>
      <c r="O1076" t="s">
        <v>117</v>
      </c>
      <c r="P1076" s="11">
        <v>6600</v>
      </c>
      <c r="Q1076" t="s">
        <v>65</v>
      </c>
      <c r="R1076" s="11">
        <f t="shared" si="32"/>
        <v>6600</v>
      </c>
      <c r="S1076" t="str">
        <f t="shared" si="33"/>
        <v>One-Time</v>
      </c>
    </row>
    <row r="1077" spans="1:19" ht="15" customHeight="1" x14ac:dyDescent="0.3">
      <c r="A1077">
        <v>1076</v>
      </c>
      <c r="B1077" t="s">
        <v>1511</v>
      </c>
      <c r="C1077">
        <v>5737174</v>
      </c>
      <c r="D1077" t="s">
        <v>114</v>
      </c>
      <c r="E1077">
        <v>62</v>
      </c>
      <c r="F1077" t="s">
        <v>77</v>
      </c>
      <c r="G1077" s="10">
        <v>45326</v>
      </c>
      <c r="H1077" t="s">
        <v>38</v>
      </c>
      <c r="I1077" t="s">
        <v>82</v>
      </c>
      <c r="J1077" t="s">
        <v>47</v>
      </c>
      <c r="K1077" t="s">
        <v>179</v>
      </c>
      <c r="L1077" t="s">
        <v>59</v>
      </c>
      <c r="M1077" t="s">
        <v>116</v>
      </c>
      <c r="N1077">
        <v>3</v>
      </c>
      <c r="O1077" t="s">
        <v>117</v>
      </c>
      <c r="P1077" s="11">
        <v>6600</v>
      </c>
      <c r="Q1077" t="s">
        <v>62</v>
      </c>
      <c r="R1077" s="11">
        <f t="shared" si="32"/>
        <v>6600</v>
      </c>
      <c r="S1077" t="str">
        <f t="shared" si="33"/>
        <v>One-Time</v>
      </c>
    </row>
    <row r="1078" spans="1:19" ht="15" customHeight="1" x14ac:dyDescent="0.3">
      <c r="A1078">
        <v>1077</v>
      </c>
      <c r="B1078" t="s">
        <v>1512</v>
      </c>
      <c r="C1078">
        <v>8548158</v>
      </c>
      <c r="D1078" t="s">
        <v>114</v>
      </c>
      <c r="E1078">
        <v>75</v>
      </c>
      <c r="F1078" t="s">
        <v>77</v>
      </c>
      <c r="G1078" s="10">
        <v>45366</v>
      </c>
      <c r="H1078" t="s">
        <v>39</v>
      </c>
      <c r="I1078" t="s">
        <v>82</v>
      </c>
      <c r="J1078" t="s">
        <v>47</v>
      </c>
      <c r="K1078" t="s">
        <v>179</v>
      </c>
      <c r="L1078" t="s">
        <v>59</v>
      </c>
      <c r="M1078" t="s">
        <v>116</v>
      </c>
      <c r="N1078">
        <v>6</v>
      </c>
      <c r="O1078" t="s">
        <v>117</v>
      </c>
      <c r="P1078" s="11">
        <v>6600</v>
      </c>
      <c r="Q1078" t="s">
        <v>1513</v>
      </c>
      <c r="R1078" s="11">
        <f t="shared" si="32"/>
        <v>6600</v>
      </c>
      <c r="S1078" t="str">
        <f t="shared" si="33"/>
        <v>One-Time</v>
      </c>
    </row>
    <row r="1079" spans="1:19" ht="15" customHeight="1" x14ac:dyDescent="0.3">
      <c r="A1079">
        <v>1078</v>
      </c>
      <c r="B1079" t="s">
        <v>1514</v>
      </c>
      <c r="C1079">
        <v>9974851</v>
      </c>
      <c r="D1079" t="s">
        <v>114</v>
      </c>
      <c r="E1079">
        <v>31</v>
      </c>
      <c r="F1079" t="s">
        <v>76</v>
      </c>
      <c r="G1079" s="10">
        <v>45367</v>
      </c>
      <c r="H1079" t="s">
        <v>39</v>
      </c>
      <c r="I1079" t="s">
        <v>83</v>
      </c>
      <c r="J1079" t="s">
        <v>47</v>
      </c>
      <c r="K1079" t="s">
        <v>179</v>
      </c>
      <c r="L1079" t="s">
        <v>59</v>
      </c>
      <c r="M1079" t="s">
        <v>116</v>
      </c>
      <c r="N1079">
        <v>9</v>
      </c>
      <c r="O1079" t="s">
        <v>117</v>
      </c>
      <c r="P1079" s="11">
        <v>6600</v>
      </c>
      <c r="Q1079" t="s">
        <v>65</v>
      </c>
      <c r="R1079" s="11">
        <f t="shared" si="32"/>
        <v>0</v>
      </c>
      <c r="S1079" t="str">
        <f t="shared" si="33"/>
        <v>One-Time</v>
      </c>
    </row>
    <row r="1080" spans="1:19" ht="15" customHeight="1" x14ac:dyDescent="0.3">
      <c r="A1080">
        <v>1079</v>
      </c>
      <c r="B1080" t="s">
        <v>1515</v>
      </c>
      <c r="C1080">
        <v>2220793</v>
      </c>
      <c r="D1080" t="s">
        <v>114</v>
      </c>
      <c r="E1080">
        <v>28</v>
      </c>
      <c r="F1080" t="s">
        <v>75</v>
      </c>
      <c r="G1080" s="10">
        <v>45368</v>
      </c>
      <c r="H1080" t="s">
        <v>39</v>
      </c>
      <c r="I1080" t="s">
        <v>82</v>
      </c>
      <c r="J1080" t="s">
        <v>47</v>
      </c>
      <c r="K1080" t="s">
        <v>179</v>
      </c>
      <c r="L1080" t="s">
        <v>59</v>
      </c>
      <c r="M1080" t="s">
        <v>116</v>
      </c>
      <c r="N1080">
        <v>2</v>
      </c>
      <c r="O1080" t="s">
        <v>117</v>
      </c>
      <c r="P1080" s="11">
        <v>6600</v>
      </c>
      <c r="Q1080" t="s">
        <v>62</v>
      </c>
      <c r="R1080" s="11">
        <f t="shared" si="32"/>
        <v>6600</v>
      </c>
      <c r="S1080" t="str">
        <f t="shared" si="33"/>
        <v>One-Time</v>
      </c>
    </row>
    <row r="1081" spans="1:19" ht="15" customHeight="1" x14ac:dyDescent="0.3">
      <c r="A1081">
        <v>1080</v>
      </c>
      <c r="B1081" t="s">
        <v>1516</v>
      </c>
      <c r="C1081">
        <v>9155153</v>
      </c>
      <c r="D1081" t="s">
        <v>114</v>
      </c>
      <c r="E1081">
        <v>35</v>
      </c>
      <c r="F1081" t="s">
        <v>76</v>
      </c>
      <c r="G1081" s="10">
        <v>45369</v>
      </c>
      <c r="H1081" t="s">
        <v>39</v>
      </c>
      <c r="I1081" t="s">
        <v>82</v>
      </c>
      <c r="J1081" t="s">
        <v>47</v>
      </c>
      <c r="K1081" t="s">
        <v>179</v>
      </c>
      <c r="L1081" t="s">
        <v>60</v>
      </c>
      <c r="M1081" t="s">
        <v>116</v>
      </c>
      <c r="N1081">
        <v>5</v>
      </c>
      <c r="O1081" t="s">
        <v>117</v>
      </c>
      <c r="P1081" s="11">
        <v>6600</v>
      </c>
      <c r="Q1081" t="s">
        <v>348</v>
      </c>
      <c r="R1081" s="11">
        <f t="shared" si="32"/>
        <v>6600</v>
      </c>
      <c r="S1081" t="str">
        <f t="shared" si="33"/>
        <v>One-Time</v>
      </c>
    </row>
    <row r="1082" spans="1:19" ht="15" customHeight="1" x14ac:dyDescent="0.3">
      <c r="A1082">
        <v>1081</v>
      </c>
      <c r="B1082" t="s">
        <v>1517</v>
      </c>
      <c r="C1082">
        <v>5595188</v>
      </c>
      <c r="D1082" t="s">
        <v>114</v>
      </c>
      <c r="E1082">
        <v>23</v>
      </c>
      <c r="F1082" t="s">
        <v>75</v>
      </c>
      <c r="G1082" s="10">
        <v>45370</v>
      </c>
      <c r="H1082" t="s">
        <v>39</v>
      </c>
      <c r="I1082" t="s">
        <v>82</v>
      </c>
      <c r="J1082" t="s">
        <v>47</v>
      </c>
      <c r="K1082" t="s">
        <v>179</v>
      </c>
      <c r="L1082" t="s">
        <v>60</v>
      </c>
      <c r="M1082" t="s">
        <v>116</v>
      </c>
      <c r="N1082">
        <v>6</v>
      </c>
      <c r="O1082" t="s">
        <v>117</v>
      </c>
      <c r="P1082" s="11">
        <v>6600</v>
      </c>
      <c r="Q1082" t="s">
        <v>1466</v>
      </c>
      <c r="R1082" s="11">
        <f t="shared" si="32"/>
        <v>6600</v>
      </c>
      <c r="S1082" t="str">
        <f t="shared" si="33"/>
        <v>One-Time</v>
      </c>
    </row>
    <row r="1083" spans="1:19" ht="15" customHeight="1" x14ac:dyDescent="0.3">
      <c r="A1083">
        <v>1082</v>
      </c>
      <c r="B1083" t="s">
        <v>1518</v>
      </c>
      <c r="C1083">
        <v>6760345</v>
      </c>
      <c r="D1083" t="s">
        <v>114</v>
      </c>
      <c r="E1083">
        <v>20</v>
      </c>
      <c r="F1083" t="s">
        <v>75</v>
      </c>
      <c r="G1083" s="10">
        <v>45371</v>
      </c>
      <c r="H1083" t="s">
        <v>39</v>
      </c>
      <c r="I1083" t="s">
        <v>82</v>
      </c>
      <c r="J1083" t="s">
        <v>47</v>
      </c>
      <c r="K1083" t="s">
        <v>179</v>
      </c>
      <c r="L1083" t="s">
        <v>60</v>
      </c>
      <c r="M1083" t="s">
        <v>116</v>
      </c>
      <c r="N1083">
        <v>9</v>
      </c>
      <c r="O1083" t="s">
        <v>117</v>
      </c>
      <c r="P1083" s="11">
        <v>6600</v>
      </c>
      <c r="Q1083" t="s">
        <v>69</v>
      </c>
      <c r="R1083" s="11">
        <f t="shared" si="32"/>
        <v>6600</v>
      </c>
      <c r="S1083" t="str">
        <f t="shared" si="33"/>
        <v>One-Time</v>
      </c>
    </row>
    <row r="1084" spans="1:19" ht="15" customHeight="1" x14ac:dyDescent="0.3">
      <c r="A1084">
        <v>1083</v>
      </c>
      <c r="B1084" t="s">
        <v>1519</v>
      </c>
      <c r="C1084">
        <v>3569139</v>
      </c>
      <c r="D1084" t="s">
        <v>114</v>
      </c>
      <c r="E1084">
        <v>76</v>
      </c>
      <c r="F1084" t="s">
        <v>77</v>
      </c>
      <c r="G1084" s="10">
        <v>45372</v>
      </c>
      <c r="H1084" t="s">
        <v>39</v>
      </c>
      <c r="I1084" t="s">
        <v>82</v>
      </c>
      <c r="J1084" t="s">
        <v>47</v>
      </c>
      <c r="K1084" t="s">
        <v>179</v>
      </c>
      <c r="L1084" t="s">
        <v>56</v>
      </c>
      <c r="M1084" t="s">
        <v>116</v>
      </c>
      <c r="N1084">
        <v>7</v>
      </c>
      <c r="O1084" t="s">
        <v>117</v>
      </c>
      <c r="P1084" s="11">
        <v>6900</v>
      </c>
      <c r="Q1084" t="s">
        <v>1520</v>
      </c>
      <c r="R1084" s="11">
        <f t="shared" si="32"/>
        <v>6900</v>
      </c>
      <c r="S1084" t="str">
        <f t="shared" si="33"/>
        <v>One-Time</v>
      </c>
    </row>
    <row r="1085" spans="1:19" ht="15" customHeight="1" x14ac:dyDescent="0.3">
      <c r="A1085">
        <v>1084</v>
      </c>
      <c r="B1085" t="s">
        <v>1521</v>
      </c>
      <c r="C1085">
        <v>5016171</v>
      </c>
      <c r="D1085" t="s">
        <v>114</v>
      </c>
      <c r="E1085">
        <v>40</v>
      </c>
      <c r="F1085" t="s">
        <v>76</v>
      </c>
      <c r="G1085" s="10">
        <v>45373</v>
      </c>
      <c r="H1085" t="s">
        <v>39</v>
      </c>
      <c r="I1085" t="s">
        <v>82</v>
      </c>
      <c r="J1085" t="s">
        <v>47</v>
      </c>
      <c r="K1085" t="s">
        <v>179</v>
      </c>
      <c r="L1085" t="s">
        <v>56</v>
      </c>
      <c r="M1085" t="s">
        <v>116</v>
      </c>
      <c r="N1085">
        <v>81</v>
      </c>
      <c r="O1085" t="s">
        <v>117</v>
      </c>
      <c r="P1085" s="11">
        <v>6900</v>
      </c>
      <c r="Q1085" t="s">
        <v>155</v>
      </c>
      <c r="R1085" s="11">
        <f t="shared" si="32"/>
        <v>6900</v>
      </c>
      <c r="S1085" t="str">
        <f t="shared" si="33"/>
        <v>One-Time</v>
      </c>
    </row>
    <row r="1086" spans="1:19" ht="15" customHeight="1" x14ac:dyDescent="0.3">
      <c r="A1086">
        <v>1085</v>
      </c>
      <c r="B1086" t="s">
        <v>1522</v>
      </c>
      <c r="C1086">
        <v>9184688</v>
      </c>
      <c r="D1086" t="s">
        <v>114</v>
      </c>
      <c r="E1086">
        <v>31</v>
      </c>
      <c r="F1086" t="s">
        <v>76</v>
      </c>
      <c r="G1086" s="10">
        <v>45374</v>
      </c>
      <c r="H1086" t="s">
        <v>39</v>
      </c>
      <c r="I1086" t="s">
        <v>85</v>
      </c>
      <c r="J1086" t="s">
        <v>47</v>
      </c>
      <c r="K1086" t="s">
        <v>190</v>
      </c>
      <c r="L1086" t="s">
        <v>56</v>
      </c>
      <c r="M1086" t="s">
        <v>116</v>
      </c>
      <c r="N1086">
        <v>24</v>
      </c>
      <c r="O1086" t="s">
        <v>117</v>
      </c>
      <c r="P1086" s="11">
        <v>6900</v>
      </c>
      <c r="Q1086" t="s">
        <v>62</v>
      </c>
      <c r="R1086" s="11">
        <f t="shared" si="32"/>
        <v>0</v>
      </c>
      <c r="S1086" t="str">
        <f t="shared" si="33"/>
        <v>One-Time</v>
      </c>
    </row>
    <row r="1087" spans="1:19" ht="15" customHeight="1" x14ac:dyDescent="0.3">
      <c r="A1087">
        <v>1086</v>
      </c>
      <c r="B1087" t="s">
        <v>1523</v>
      </c>
      <c r="C1087">
        <v>1196333</v>
      </c>
      <c r="D1087" t="s">
        <v>114</v>
      </c>
      <c r="E1087">
        <v>18</v>
      </c>
      <c r="F1087" t="s">
        <v>75</v>
      </c>
      <c r="G1087" s="10">
        <v>45375</v>
      </c>
      <c r="H1087" t="s">
        <v>39</v>
      </c>
      <c r="I1087" t="s">
        <v>82</v>
      </c>
      <c r="J1087" t="s">
        <v>47</v>
      </c>
      <c r="K1087" t="s">
        <v>190</v>
      </c>
      <c r="L1087" t="s">
        <v>56</v>
      </c>
      <c r="M1087" t="s">
        <v>116</v>
      </c>
      <c r="N1087">
        <v>56</v>
      </c>
      <c r="O1087" t="s">
        <v>117</v>
      </c>
      <c r="P1087" s="11">
        <v>6900</v>
      </c>
      <c r="Q1087" t="s">
        <v>66</v>
      </c>
      <c r="R1087" s="11">
        <f t="shared" si="32"/>
        <v>6900</v>
      </c>
      <c r="S1087" t="str">
        <f t="shared" si="33"/>
        <v>One-Time</v>
      </c>
    </row>
    <row r="1088" spans="1:19" ht="15" customHeight="1" x14ac:dyDescent="0.3">
      <c r="A1088">
        <v>1087</v>
      </c>
      <c r="B1088" t="s">
        <v>1524</v>
      </c>
      <c r="C1088">
        <v>9978425</v>
      </c>
      <c r="D1088" t="s">
        <v>114</v>
      </c>
      <c r="E1088">
        <v>34</v>
      </c>
      <c r="F1088" t="s">
        <v>76</v>
      </c>
      <c r="G1088" s="10">
        <v>45376</v>
      </c>
      <c r="H1088" t="s">
        <v>39</v>
      </c>
      <c r="I1088" t="s">
        <v>82</v>
      </c>
      <c r="J1088" t="s">
        <v>47</v>
      </c>
      <c r="K1088" t="s">
        <v>190</v>
      </c>
      <c r="L1088" t="s">
        <v>56</v>
      </c>
      <c r="M1088" t="s">
        <v>116</v>
      </c>
      <c r="N1088">
        <v>55</v>
      </c>
      <c r="O1088" t="s">
        <v>117</v>
      </c>
      <c r="P1088" s="11">
        <v>6900</v>
      </c>
      <c r="Q1088" t="s">
        <v>643</v>
      </c>
      <c r="R1088" s="11">
        <f t="shared" si="32"/>
        <v>6900</v>
      </c>
      <c r="S1088" t="str">
        <f t="shared" si="33"/>
        <v>One-Time</v>
      </c>
    </row>
    <row r="1089" spans="1:19" ht="15" customHeight="1" x14ac:dyDescent="0.3">
      <c r="A1089">
        <v>1088</v>
      </c>
      <c r="B1089" t="s">
        <v>1525</v>
      </c>
      <c r="C1089">
        <v>9569162</v>
      </c>
      <c r="D1089" t="s">
        <v>114</v>
      </c>
      <c r="E1089">
        <v>23</v>
      </c>
      <c r="F1089" t="s">
        <v>75</v>
      </c>
      <c r="G1089" s="10">
        <v>45377</v>
      </c>
      <c r="H1089" t="s">
        <v>39</v>
      </c>
      <c r="I1089" t="s">
        <v>82</v>
      </c>
      <c r="J1089" t="s">
        <v>47</v>
      </c>
      <c r="K1089" t="s">
        <v>190</v>
      </c>
      <c r="L1089" t="s">
        <v>56</v>
      </c>
      <c r="M1089" t="s">
        <v>122</v>
      </c>
      <c r="N1089">
        <v>5</v>
      </c>
      <c r="O1089" t="s">
        <v>117</v>
      </c>
      <c r="P1089" s="11">
        <v>6900</v>
      </c>
      <c r="Q1089" t="s">
        <v>63</v>
      </c>
      <c r="R1089" s="11">
        <f t="shared" si="32"/>
        <v>6900</v>
      </c>
      <c r="S1089" t="str">
        <f t="shared" si="33"/>
        <v>One-Time</v>
      </c>
    </row>
    <row r="1090" spans="1:19" ht="15" customHeight="1" x14ac:dyDescent="0.3">
      <c r="A1090">
        <v>1089</v>
      </c>
      <c r="B1090" t="s">
        <v>1526</v>
      </c>
      <c r="C1090">
        <v>7208859</v>
      </c>
      <c r="D1090" t="s">
        <v>114</v>
      </c>
      <c r="E1090">
        <v>32</v>
      </c>
      <c r="F1090" t="s">
        <v>76</v>
      </c>
      <c r="G1090" s="10">
        <v>45378</v>
      </c>
      <c r="H1090" t="s">
        <v>39</v>
      </c>
      <c r="I1090" t="s">
        <v>82</v>
      </c>
      <c r="J1090" t="s">
        <v>47</v>
      </c>
      <c r="K1090" t="s">
        <v>190</v>
      </c>
      <c r="L1090" t="s">
        <v>56</v>
      </c>
      <c r="M1090" t="s">
        <v>122</v>
      </c>
      <c r="N1090">
        <v>4</v>
      </c>
      <c r="O1090" t="s">
        <v>117</v>
      </c>
      <c r="P1090" s="11">
        <v>6900</v>
      </c>
      <c r="Q1090" t="s">
        <v>64</v>
      </c>
      <c r="R1090" s="11">
        <f t="shared" ref="R1090:R1153" si="34">IF(I1090="Delivered",P1090,0)</f>
        <v>6900</v>
      </c>
      <c r="S1090" t="str">
        <f t="shared" ref="S1090:S1153" si="35">IF(COUNTIF($C$2:$C$1501,C1090)&gt;1,"Repeat","One-Time")</f>
        <v>One-Time</v>
      </c>
    </row>
    <row r="1091" spans="1:19" ht="15" customHeight="1" x14ac:dyDescent="0.3">
      <c r="A1091">
        <v>1090</v>
      </c>
      <c r="B1091" t="s">
        <v>1527</v>
      </c>
      <c r="C1091">
        <v>9116386</v>
      </c>
      <c r="D1091" t="s">
        <v>114</v>
      </c>
      <c r="E1091">
        <v>48</v>
      </c>
      <c r="F1091" t="s">
        <v>76</v>
      </c>
      <c r="G1091" s="10">
        <v>45379</v>
      </c>
      <c r="H1091" t="s">
        <v>39</v>
      </c>
      <c r="I1091" t="s">
        <v>85</v>
      </c>
      <c r="J1091" t="s">
        <v>47</v>
      </c>
      <c r="K1091" t="s">
        <v>190</v>
      </c>
      <c r="L1091" t="s">
        <v>56</v>
      </c>
      <c r="M1091" t="s">
        <v>122</v>
      </c>
      <c r="N1091">
        <v>8</v>
      </c>
      <c r="O1091" t="s">
        <v>117</v>
      </c>
      <c r="P1091" s="11">
        <v>6900</v>
      </c>
      <c r="Q1091" t="s">
        <v>67</v>
      </c>
      <c r="R1091" s="11">
        <f t="shared" si="34"/>
        <v>0</v>
      </c>
      <c r="S1091" t="str">
        <f t="shared" si="35"/>
        <v>One-Time</v>
      </c>
    </row>
    <row r="1092" spans="1:19" ht="15" customHeight="1" x14ac:dyDescent="0.3">
      <c r="A1092">
        <v>1091</v>
      </c>
      <c r="B1092" t="s">
        <v>1528</v>
      </c>
      <c r="C1092">
        <v>7286119</v>
      </c>
      <c r="D1092" t="s">
        <v>114</v>
      </c>
      <c r="E1092">
        <v>69</v>
      </c>
      <c r="F1092" t="s">
        <v>77</v>
      </c>
      <c r="G1092" s="10">
        <v>45380</v>
      </c>
      <c r="H1092" t="s">
        <v>39</v>
      </c>
      <c r="I1092" t="s">
        <v>82</v>
      </c>
      <c r="J1092" t="s">
        <v>47</v>
      </c>
      <c r="K1092" t="s">
        <v>190</v>
      </c>
      <c r="L1092" t="s">
        <v>56</v>
      </c>
      <c r="M1092" t="s">
        <v>122</v>
      </c>
      <c r="N1092">
        <v>7</v>
      </c>
      <c r="O1092" t="s">
        <v>117</v>
      </c>
      <c r="P1092" s="11">
        <v>6900</v>
      </c>
      <c r="Q1092" t="s">
        <v>1375</v>
      </c>
      <c r="R1092" s="11">
        <f t="shared" si="34"/>
        <v>6900</v>
      </c>
      <c r="S1092" t="str">
        <f t="shared" si="35"/>
        <v>One-Time</v>
      </c>
    </row>
    <row r="1093" spans="1:19" ht="15" customHeight="1" x14ac:dyDescent="0.3">
      <c r="A1093">
        <v>1092</v>
      </c>
      <c r="B1093" t="s">
        <v>1529</v>
      </c>
      <c r="C1093">
        <v>2546275</v>
      </c>
      <c r="D1093" t="s">
        <v>114</v>
      </c>
      <c r="E1093">
        <v>30</v>
      </c>
      <c r="F1093" t="s">
        <v>76</v>
      </c>
      <c r="G1093" s="10">
        <v>45381</v>
      </c>
      <c r="H1093" t="s">
        <v>39</v>
      </c>
      <c r="I1093" t="s">
        <v>82</v>
      </c>
      <c r="J1093" t="s">
        <v>47</v>
      </c>
      <c r="K1093" t="s">
        <v>190</v>
      </c>
      <c r="L1093" t="s">
        <v>56</v>
      </c>
      <c r="M1093" t="s">
        <v>122</v>
      </c>
      <c r="N1093">
        <v>9</v>
      </c>
      <c r="O1093" t="s">
        <v>117</v>
      </c>
      <c r="P1093" s="11">
        <v>6900</v>
      </c>
      <c r="Q1093" t="s">
        <v>1530</v>
      </c>
      <c r="R1093" s="11">
        <f t="shared" si="34"/>
        <v>6900</v>
      </c>
      <c r="S1093" t="str">
        <f t="shared" si="35"/>
        <v>One-Time</v>
      </c>
    </row>
    <row r="1094" spans="1:19" ht="15" customHeight="1" x14ac:dyDescent="0.3">
      <c r="A1094">
        <v>1093</v>
      </c>
      <c r="B1094" t="s">
        <v>1531</v>
      </c>
      <c r="C1094">
        <v>5135320</v>
      </c>
      <c r="D1094" t="s">
        <v>114</v>
      </c>
      <c r="E1094">
        <v>25</v>
      </c>
      <c r="F1094" t="s">
        <v>75</v>
      </c>
      <c r="G1094" s="10">
        <v>45382</v>
      </c>
      <c r="H1094" t="s">
        <v>39</v>
      </c>
      <c r="I1094" t="s">
        <v>82</v>
      </c>
      <c r="J1094" t="s">
        <v>47</v>
      </c>
      <c r="K1094" t="s">
        <v>190</v>
      </c>
      <c r="L1094" t="s">
        <v>56</v>
      </c>
      <c r="M1094" t="s">
        <v>122</v>
      </c>
      <c r="N1094">
        <v>3</v>
      </c>
      <c r="O1094" t="s">
        <v>117</v>
      </c>
      <c r="P1094" s="11">
        <v>6900</v>
      </c>
      <c r="Q1094" t="s">
        <v>1046</v>
      </c>
      <c r="R1094" s="11">
        <f t="shared" si="34"/>
        <v>6900</v>
      </c>
      <c r="S1094" t="str">
        <f t="shared" si="35"/>
        <v>One-Time</v>
      </c>
    </row>
    <row r="1095" spans="1:19" ht="15" customHeight="1" x14ac:dyDescent="0.3">
      <c r="A1095">
        <v>1094</v>
      </c>
      <c r="B1095" t="s">
        <v>1532</v>
      </c>
      <c r="C1095">
        <v>9884525</v>
      </c>
      <c r="D1095" t="s">
        <v>114</v>
      </c>
      <c r="E1095">
        <v>45</v>
      </c>
      <c r="F1095" t="s">
        <v>76</v>
      </c>
      <c r="G1095" s="10">
        <v>45383</v>
      </c>
      <c r="H1095" t="s">
        <v>40</v>
      </c>
      <c r="I1095" t="s">
        <v>82</v>
      </c>
      <c r="J1095" t="s">
        <v>47</v>
      </c>
      <c r="K1095" t="s">
        <v>190</v>
      </c>
      <c r="L1095" t="s">
        <v>56</v>
      </c>
      <c r="M1095" t="s">
        <v>122</v>
      </c>
      <c r="N1095">
        <v>32</v>
      </c>
      <c r="O1095" t="s">
        <v>117</v>
      </c>
      <c r="P1095" s="11">
        <v>6900</v>
      </c>
      <c r="Q1095" t="s">
        <v>1533</v>
      </c>
      <c r="R1095" s="11">
        <f t="shared" si="34"/>
        <v>6900</v>
      </c>
      <c r="S1095" t="str">
        <f t="shared" si="35"/>
        <v>One-Time</v>
      </c>
    </row>
    <row r="1096" spans="1:19" ht="15" customHeight="1" x14ac:dyDescent="0.3">
      <c r="A1096">
        <v>1095</v>
      </c>
      <c r="B1096" t="s">
        <v>1534</v>
      </c>
      <c r="C1096">
        <v>5628966</v>
      </c>
      <c r="D1096" t="s">
        <v>114</v>
      </c>
      <c r="E1096">
        <v>31</v>
      </c>
      <c r="F1096" t="s">
        <v>76</v>
      </c>
      <c r="G1096" s="10">
        <v>45384</v>
      </c>
      <c r="H1096" t="s">
        <v>40</v>
      </c>
      <c r="I1096" t="s">
        <v>82</v>
      </c>
      <c r="J1096" t="s">
        <v>47</v>
      </c>
      <c r="K1096" t="s">
        <v>190</v>
      </c>
      <c r="L1096" t="s">
        <v>56</v>
      </c>
      <c r="M1096" t="s">
        <v>122</v>
      </c>
      <c r="N1096">
        <v>65</v>
      </c>
      <c r="O1096" t="s">
        <v>117</v>
      </c>
      <c r="P1096" s="11">
        <v>6900</v>
      </c>
      <c r="Q1096" t="s">
        <v>1535</v>
      </c>
      <c r="R1096" s="11">
        <f t="shared" si="34"/>
        <v>6900</v>
      </c>
      <c r="S1096" t="str">
        <f t="shared" si="35"/>
        <v>One-Time</v>
      </c>
    </row>
    <row r="1097" spans="1:19" ht="15" customHeight="1" x14ac:dyDescent="0.3">
      <c r="A1097">
        <v>1096</v>
      </c>
      <c r="B1097" t="s">
        <v>1536</v>
      </c>
      <c r="C1097">
        <v>6138380</v>
      </c>
      <c r="D1097" t="s">
        <v>114</v>
      </c>
      <c r="E1097">
        <v>39</v>
      </c>
      <c r="F1097" t="s">
        <v>76</v>
      </c>
      <c r="G1097" s="10">
        <v>45385</v>
      </c>
      <c r="H1097" t="s">
        <v>40</v>
      </c>
      <c r="I1097" t="s">
        <v>85</v>
      </c>
      <c r="J1097" t="s">
        <v>47</v>
      </c>
      <c r="K1097" t="s">
        <v>115</v>
      </c>
      <c r="L1097" t="s">
        <v>56</v>
      </c>
      <c r="M1097" t="s">
        <v>122</v>
      </c>
      <c r="N1097">
        <v>4</v>
      </c>
      <c r="O1097" t="s">
        <v>117</v>
      </c>
      <c r="P1097" s="11">
        <v>6900</v>
      </c>
      <c r="Q1097" t="s">
        <v>69</v>
      </c>
      <c r="R1097" s="11">
        <f t="shared" si="34"/>
        <v>0</v>
      </c>
      <c r="S1097" t="str">
        <f t="shared" si="35"/>
        <v>One-Time</v>
      </c>
    </row>
    <row r="1098" spans="1:19" ht="15" customHeight="1" x14ac:dyDescent="0.3">
      <c r="A1098">
        <v>1097</v>
      </c>
      <c r="B1098" t="s">
        <v>1537</v>
      </c>
      <c r="C1098">
        <v>159112</v>
      </c>
      <c r="D1098" t="s">
        <v>114</v>
      </c>
      <c r="E1098">
        <v>42</v>
      </c>
      <c r="F1098" t="s">
        <v>76</v>
      </c>
      <c r="G1098" s="10">
        <v>45386</v>
      </c>
      <c r="H1098" t="s">
        <v>40</v>
      </c>
      <c r="I1098" t="s">
        <v>84</v>
      </c>
      <c r="J1098" t="s">
        <v>47</v>
      </c>
      <c r="K1098" t="s">
        <v>115</v>
      </c>
      <c r="L1098" t="s">
        <v>56</v>
      </c>
      <c r="M1098" t="s">
        <v>122</v>
      </c>
      <c r="N1098">
        <v>1</v>
      </c>
      <c r="O1098" t="s">
        <v>117</v>
      </c>
      <c r="P1098" s="11">
        <v>6900</v>
      </c>
      <c r="Q1098" t="s">
        <v>65</v>
      </c>
      <c r="R1098" s="11">
        <f t="shared" si="34"/>
        <v>0</v>
      </c>
      <c r="S1098" t="str">
        <f t="shared" si="35"/>
        <v>One-Time</v>
      </c>
    </row>
    <row r="1099" spans="1:19" ht="15" customHeight="1" x14ac:dyDescent="0.3">
      <c r="A1099">
        <v>1098</v>
      </c>
      <c r="B1099" t="s">
        <v>1538</v>
      </c>
      <c r="C1099">
        <v>1960238</v>
      </c>
      <c r="D1099" t="s">
        <v>114</v>
      </c>
      <c r="E1099">
        <v>25</v>
      </c>
      <c r="F1099" t="s">
        <v>75</v>
      </c>
      <c r="G1099" s="10">
        <v>45387</v>
      </c>
      <c r="H1099" t="s">
        <v>40</v>
      </c>
      <c r="I1099" t="s">
        <v>82</v>
      </c>
      <c r="J1099" t="s">
        <v>47</v>
      </c>
      <c r="K1099" t="s">
        <v>115</v>
      </c>
      <c r="L1099" t="s">
        <v>56</v>
      </c>
      <c r="M1099" t="s">
        <v>122</v>
      </c>
      <c r="N1099">
        <v>47</v>
      </c>
      <c r="O1099" t="s">
        <v>117</v>
      </c>
      <c r="P1099" s="11">
        <v>6900</v>
      </c>
      <c r="Q1099" t="s">
        <v>300</v>
      </c>
      <c r="R1099" s="11">
        <f t="shared" si="34"/>
        <v>6900</v>
      </c>
      <c r="S1099" t="str">
        <f t="shared" si="35"/>
        <v>One-Time</v>
      </c>
    </row>
    <row r="1100" spans="1:19" ht="15" customHeight="1" x14ac:dyDescent="0.3">
      <c r="A1100">
        <v>1099</v>
      </c>
      <c r="B1100" t="s">
        <v>1539</v>
      </c>
      <c r="C1100">
        <v>9188859</v>
      </c>
      <c r="D1100" t="s">
        <v>114</v>
      </c>
      <c r="E1100">
        <v>30</v>
      </c>
      <c r="F1100" t="s">
        <v>76</v>
      </c>
      <c r="G1100" s="10">
        <v>45388</v>
      </c>
      <c r="H1100" t="s">
        <v>40</v>
      </c>
      <c r="I1100" t="s">
        <v>82</v>
      </c>
      <c r="J1100" t="s">
        <v>47</v>
      </c>
      <c r="K1100" t="s">
        <v>115</v>
      </c>
      <c r="L1100" t="s">
        <v>56</v>
      </c>
      <c r="M1100" t="s">
        <v>122</v>
      </c>
      <c r="N1100">
        <v>3</v>
      </c>
      <c r="O1100" t="s">
        <v>117</v>
      </c>
      <c r="P1100" s="11">
        <v>6900</v>
      </c>
      <c r="Q1100" t="s">
        <v>62</v>
      </c>
      <c r="R1100" s="11">
        <f t="shared" si="34"/>
        <v>6900</v>
      </c>
      <c r="S1100" t="str">
        <f t="shared" si="35"/>
        <v>One-Time</v>
      </c>
    </row>
    <row r="1101" spans="1:19" ht="15" customHeight="1" x14ac:dyDescent="0.3">
      <c r="A1101">
        <v>1100</v>
      </c>
      <c r="B1101" t="s">
        <v>1540</v>
      </c>
      <c r="C1101">
        <v>5563976</v>
      </c>
      <c r="D1101" t="s">
        <v>114</v>
      </c>
      <c r="E1101">
        <v>23</v>
      </c>
      <c r="F1101" t="s">
        <v>75</v>
      </c>
      <c r="G1101" s="10">
        <v>45389</v>
      </c>
      <c r="H1101" t="s">
        <v>40</v>
      </c>
      <c r="I1101" t="s">
        <v>82</v>
      </c>
      <c r="J1101" t="s">
        <v>47</v>
      </c>
      <c r="K1101" t="s">
        <v>115</v>
      </c>
      <c r="L1101" t="s">
        <v>56</v>
      </c>
      <c r="M1101" t="s">
        <v>122</v>
      </c>
      <c r="N1101">
        <v>4</v>
      </c>
      <c r="O1101" t="s">
        <v>117</v>
      </c>
      <c r="P1101" s="11">
        <v>6900</v>
      </c>
      <c r="Q1101" t="s">
        <v>1541</v>
      </c>
      <c r="R1101" s="11">
        <f t="shared" si="34"/>
        <v>6900</v>
      </c>
      <c r="S1101" t="str">
        <f t="shared" si="35"/>
        <v>One-Time</v>
      </c>
    </row>
    <row r="1102" spans="1:19" ht="15" customHeight="1" x14ac:dyDescent="0.3">
      <c r="A1102">
        <v>1101</v>
      </c>
      <c r="B1102" t="s">
        <v>1542</v>
      </c>
      <c r="C1102">
        <v>3204934</v>
      </c>
      <c r="D1102" t="s">
        <v>114</v>
      </c>
      <c r="E1102">
        <v>46</v>
      </c>
      <c r="F1102" t="s">
        <v>76</v>
      </c>
      <c r="G1102" s="10">
        <v>45390</v>
      </c>
      <c r="H1102" t="s">
        <v>40</v>
      </c>
      <c r="I1102" t="s">
        <v>82</v>
      </c>
      <c r="J1102" t="s">
        <v>47</v>
      </c>
      <c r="K1102" t="s">
        <v>115</v>
      </c>
      <c r="L1102" t="s">
        <v>56</v>
      </c>
      <c r="M1102" t="s">
        <v>122</v>
      </c>
      <c r="N1102">
        <v>4</v>
      </c>
      <c r="O1102" t="s">
        <v>117</v>
      </c>
      <c r="P1102" s="11">
        <v>6900</v>
      </c>
      <c r="Q1102" t="s">
        <v>70</v>
      </c>
      <c r="R1102" s="11">
        <f t="shared" si="34"/>
        <v>6900</v>
      </c>
      <c r="S1102" t="str">
        <f t="shared" si="35"/>
        <v>One-Time</v>
      </c>
    </row>
    <row r="1103" spans="1:19" ht="15" customHeight="1" x14ac:dyDescent="0.3">
      <c r="A1103">
        <v>1102</v>
      </c>
      <c r="B1103" t="s">
        <v>1543</v>
      </c>
      <c r="C1103">
        <v>3227935</v>
      </c>
      <c r="D1103" t="s">
        <v>114</v>
      </c>
      <c r="E1103">
        <v>71</v>
      </c>
      <c r="F1103" t="s">
        <v>77</v>
      </c>
      <c r="G1103" s="10">
        <v>45391</v>
      </c>
      <c r="H1103" t="s">
        <v>40</v>
      </c>
      <c r="I1103" t="s">
        <v>82</v>
      </c>
      <c r="J1103" t="s">
        <v>47</v>
      </c>
      <c r="K1103" t="s">
        <v>115</v>
      </c>
      <c r="L1103" t="s">
        <v>56</v>
      </c>
      <c r="M1103" t="s">
        <v>122</v>
      </c>
      <c r="N1103">
        <v>9</v>
      </c>
      <c r="O1103" t="s">
        <v>117</v>
      </c>
      <c r="P1103" s="11">
        <v>6900</v>
      </c>
      <c r="Q1103" t="s">
        <v>62</v>
      </c>
      <c r="R1103" s="11">
        <f t="shared" si="34"/>
        <v>6900</v>
      </c>
      <c r="S1103" t="str">
        <f t="shared" si="35"/>
        <v>One-Time</v>
      </c>
    </row>
    <row r="1104" spans="1:19" ht="15" customHeight="1" x14ac:dyDescent="0.3">
      <c r="A1104">
        <v>1103</v>
      </c>
      <c r="B1104" t="s">
        <v>1544</v>
      </c>
      <c r="C1104">
        <v>5187364</v>
      </c>
      <c r="D1104" t="s">
        <v>114</v>
      </c>
      <c r="E1104">
        <v>25</v>
      </c>
      <c r="F1104" t="s">
        <v>75</v>
      </c>
      <c r="G1104" s="10">
        <v>45392</v>
      </c>
      <c r="H1104" t="s">
        <v>40</v>
      </c>
      <c r="I1104" t="s">
        <v>84</v>
      </c>
      <c r="J1104" t="s">
        <v>47</v>
      </c>
      <c r="K1104" t="s">
        <v>115</v>
      </c>
      <c r="L1104" t="s">
        <v>56</v>
      </c>
      <c r="M1104" t="s">
        <v>122</v>
      </c>
      <c r="N1104">
        <v>8</v>
      </c>
      <c r="O1104" t="s">
        <v>117</v>
      </c>
      <c r="P1104" s="11">
        <v>6900</v>
      </c>
      <c r="Q1104" t="s">
        <v>118</v>
      </c>
      <c r="R1104" s="11">
        <f t="shared" si="34"/>
        <v>0</v>
      </c>
      <c r="S1104" t="str">
        <f t="shared" si="35"/>
        <v>One-Time</v>
      </c>
    </row>
    <row r="1105" spans="1:19" ht="15" customHeight="1" x14ac:dyDescent="0.3">
      <c r="A1105">
        <v>1104</v>
      </c>
      <c r="B1105" t="s">
        <v>1545</v>
      </c>
      <c r="C1105">
        <v>8698294</v>
      </c>
      <c r="D1105" t="s">
        <v>114</v>
      </c>
      <c r="E1105">
        <v>68</v>
      </c>
      <c r="F1105" t="s">
        <v>77</v>
      </c>
      <c r="G1105" s="10">
        <v>45393</v>
      </c>
      <c r="H1105" t="s">
        <v>40</v>
      </c>
      <c r="I1105" t="s">
        <v>82</v>
      </c>
      <c r="J1105" t="s">
        <v>47</v>
      </c>
      <c r="K1105" t="s">
        <v>115</v>
      </c>
      <c r="L1105" t="s">
        <v>56</v>
      </c>
      <c r="M1105" t="s">
        <v>122</v>
      </c>
      <c r="N1105">
        <v>3</v>
      </c>
      <c r="O1105" t="s">
        <v>117</v>
      </c>
      <c r="P1105" s="11">
        <v>6300</v>
      </c>
      <c r="Q1105" t="s">
        <v>65</v>
      </c>
      <c r="R1105" s="11">
        <f t="shared" si="34"/>
        <v>6300</v>
      </c>
      <c r="S1105" t="str">
        <f t="shared" si="35"/>
        <v>One-Time</v>
      </c>
    </row>
    <row r="1106" spans="1:19" ht="15" customHeight="1" x14ac:dyDescent="0.3">
      <c r="A1106">
        <v>1105</v>
      </c>
      <c r="B1106" t="s">
        <v>1546</v>
      </c>
      <c r="C1106">
        <v>2360764</v>
      </c>
      <c r="D1106" t="s">
        <v>114</v>
      </c>
      <c r="E1106">
        <v>46</v>
      </c>
      <c r="F1106" t="s">
        <v>76</v>
      </c>
      <c r="G1106" s="10">
        <v>45394</v>
      </c>
      <c r="H1106" t="s">
        <v>40</v>
      </c>
      <c r="I1106" t="s">
        <v>82</v>
      </c>
      <c r="J1106" t="s">
        <v>47</v>
      </c>
      <c r="K1106" t="s">
        <v>115</v>
      </c>
      <c r="L1106" t="s">
        <v>56</v>
      </c>
      <c r="M1106" t="s">
        <v>122</v>
      </c>
      <c r="N1106">
        <v>6</v>
      </c>
      <c r="O1106" t="s">
        <v>117</v>
      </c>
      <c r="P1106" s="11">
        <v>6300</v>
      </c>
      <c r="Q1106" t="s">
        <v>65</v>
      </c>
      <c r="R1106" s="11">
        <f t="shared" si="34"/>
        <v>6300</v>
      </c>
      <c r="S1106" t="str">
        <f t="shared" si="35"/>
        <v>One-Time</v>
      </c>
    </row>
    <row r="1107" spans="1:19" ht="15" customHeight="1" x14ac:dyDescent="0.3">
      <c r="A1107">
        <v>1106</v>
      </c>
      <c r="B1107" t="s">
        <v>1547</v>
      </c>
      <c r="C1107">
        <v>3600740</v>
      </c>
      <c r="D1107" t="s">
        <v>114</v>
      </c>
      <c r="E1107">
        <v>38</v>
      </c>
      <c r="F1107" t="s">
        <v>76</v>
      </c>
      <c r="G1107" s="10">
        <v>45395</v>
      </c>
      <c r="H1107" t="s">
        <v>40</v>
      </c>
      <c r="I1107" t="s">
        <v>82</v>
      </c>
      <c r="J1107" t="s">
        <v>47</v>
      </c>
      <c r="K1107" t="s">
        <v>115</v>
      </c>
      <c r="L1107" t="s">
        <v>56</v>
      </c>
      <c r="M1107" t="s">
        <v>122</v>
      </c>
      <c r="N1107">
        <v>9</v>
      </c>
      <c r="O1107" t="s">
        <v>117</v>
      </c>
      <c r="P1107" s="11">
        <v>6300</v>
      </c>
      <c r="Q1107" t="s">
        <v>247</v>
      </c>
      <c r="R1107" s="11">
        <f t="shared" si="34"/>
        <v>6300</v>
      </c>
      <c r="S1107" t="str">
        <f t="shared" si="35"/>
        <v>One-Time</v>
      </c>
    </row>
    <row r="1108" spans="1:19" ht="15" customHeight="1" x14ac:dyDescent="0.3">
      <c r="A1108">
        <v>1107</v>
      </c>
      <c r="B1108" t="s">
        <v>1548</v>
      </c>
      <c r="C1108">
        <v>4102435</v>
      </c>
      <c r="D1108" t="s">
        <v>114</v>
      </c>
      <c r="E1108">
        <v>40</v>
      </c>
      <c r="F1108" t="s">
        <v>76</v>
      </c>
      <c r="G1108" s="10">
        <v>45396</v>
      </c>
      <c r="H1108" t="s">
        <v>40</v>
      </c>
      <c r="I1108" t="s">
        <v>82</v>
      </c>
      <c r="J1108" t="s">
        <v>47</v>
      </c>
      <c r="K1108" t="s">
        <v>115</v>
      </c>
      <c r="L1108" t="s">
        <v>56</v>
      </c>
      <c r="M1108" t="s">
        <v>122</v>
      </c>
      <c r="N1108">
        <v>2</v>
      </c>
      <c r="O1108" t="s">
        <v>117</v>
      </c>
      <c r="P1108" s="11">
        <v>6300</v>
      </c>
      <c r="Q1108" t="s">
        <v>1549</v>
      </c>
      <c r="R1108" s="11">
        <f t="shared" si="34"/>
        <v>6300</v>
      </c>
      <c r="S1108" t="str">
        <f t="shared" si="35"/>
        <v>One-Time</v>
      </c>
    </row>
    <row r="1109" spans="1:19" ht="15" customHeight="1" x14ac:dyDescent="0.3">
      <c r="A1109">
        <v>1108</v>
      </c>
      <c r="B1109" t="s">
        <v>1550</v>
      </c>
      <c r="C1109">
        <v>1197282</v>
      </c>
      <c r="D1109" t="s">
        <v>114</v>
      </c>
      <c r="E1109">
        <v>22</v>
      </c>
      <c r="F1109" t="s">
        <v>75</v>
      </c>
      <c r="G1109" s="10">
        <v>45397</v>
      </c>
      <c r="H1109" t="s">
        <v>40</v>
      </c>
      <c r="I1109" t="s">
        <v>82</v>
      </c>
      <c r="J1109" t="s">
        <v>47</v>
      </c>
      <c r="K1109" t="s">
        <v>115</v>
      </c>
      <c r="L1109" t="s">
        <v>56</v>
      </c>
      <c r="M1109" t="s">
        <v>122</v>
      </c>
      <c r="N1109">
        <v>5</v>
      </c>
      <c r="O1109" t="s">
        <v>117</v>
      </c>
      <c r="P1109" s="11">
        <v>6300</v>
      </c>
      <c r="Q1109" t="s">
        <v>250</v>
      </c>
      <c r="R1109" s="11">
        <f t="shared" si="34"/>
        <v>6300</v>
      </c>
      <c r="S1109" t="str">
        <f t="shared" si="35"/>
        <v>Repeat</v>
      </c>
    </row>
    <row r="1110" spans="1:19" ht="15" customHeight="1" x14ac:dyDescent="0.3">
      <c r="A1110">
        <v>1109</v>
      </c>
      <c r="B1110" t="s">
        <v>1550</v>
      </c>
      <c r="C1110">
        <v>1197282</v>
      </c>
      <c r="D1110" t="s">
        <v>114</v>
      </c>
      <c r="E1110">
        <v>31</v>
      </c>
      <c r="F1110" t="s">
        <v>76</v>
      </c>
      <c r="G1110" s="10">
        <v>45398</v>
      </c>
      <c r="H1110" t="s">
        <v>40</v>
      </c>
      <c r="I1110" t="s">
        <v>82</v>
      </c>
      <c r="J1110" t="s">
        <v>47</v>
      </c>
      <c r="K1110" t="s">
        <v>115</v>
      </c>
      <c r="L1110" t="s">
        <v>56</v>
      </c>
      <c r="M1110" t="s">
        <v>116</v>
      </c>
      <c r="N1110">
        <v>9</v>
      </c>
      <c r="O1110" t="s">
        <v>117</v>
      </c>
      <c r="P1110" s="11">
        <v>6300</v>
      </c>
      <c r="Q1110" t="s">
        <v>191</v>
      </c>
      <c r="R1110" s="11">
        <f t="shared" si="34"/>
        <v>6300</v>
      </c>
      <c r="S1110" t="str">
        <f t="shared" si="35"/>
        <v>Repeat</v>
      </c>
    </row>
    <row r="1111" spans="1:19" ht="15" customHeight="1" x14ac:dyDescent="0.3">
      <c r="A1111">
        <v>1110</v>
      </c>
      <c r="B1111" t="s">
        <v>1551</v>
      </c>
      <c r="C1111">
        <v>8315179</v>
      </c>
      <c r="D1111" t="s">
        <v>114</v>
      </c>
      <c r="E1111">
        <v>55</v>
      </c>
      <c r="F1111" t="s">
        <v>77</v>
      </c>
      <c r="G1111" s="10">
        <v>45399</v>
      </c>
      <c r="H1111" t="s">
        <v>40</v>
      </c>
      <c r="I1111" t="s">
        <v>82</v>
      </c>
      <c r="J1111" t="s">
        <v>47</v>
      </c>
      <c r="K1111" t="s">
        <v>121</v>
      </c>
      <c r="L1111" t="s">
        <v>56</v>
      </c>
      <c r="M1111" t="s">
        <v>122</v>
      </c>
      <c r="N1111">
        <v>7</v>
      </c>
      <c r="O1111" t="s">
        <v>117</v>
      </c>
      <c r="P1111" s="11">
        <v>6300</v>
      </c>
      <c r="Q1111" t="s">
        <v>147</v>
      </c>
      <c r="R1111" s="11">
        <f t="shared" si="34"/>
        <v>6300</v>
      </c>
      <c r="S1111" t="str">
        <f t="shared" si="35"/>
        <v>One-Time</v>
      </c>
    </row>
    <row r="1112" spans="1:19" ht="15" customHeight="1" x14ac:dyDescent="0.3">
      <c r="A1112">
        <v>1111</v>
      </c>
      <c r="B1112" t="s">
        <v>1552</v>
      </c>
      <c r="C1112">
        <v>5956376</v>
      </c>
      <c r="D1112" t="s">
        <v>114</v>
      </c>
      <c r="E1112">
        <v>77</v>
      </c>
      <c r="F1112" t="s">
        <v>77</v>
      </c>
      <c r="G1112" s="10">
        <v>45400</v>
      </c>
      <c r="H1112" t="s">
        <v>40</v>
      </c>
      <c r="I1112" t="s">
        <v>82</v>
      </c>
      <c r="J1112" t="s">
        <v>47</v>
      </c>
      <c r="K1112" t="s">
        <v>125</v>
      </c>
      <c r="L1112" t="s">
        <v>56</v>
      </c>
      <c r="M1112" t="s">
        <v>116</v>
      </c>
      <c r="N1112">
        <v>6</v>
      </c>
      <c r="O1112" t="s">
        <v>117</v>
      </c>
      <c r="P1112" s="11">
        <v>6300</v>
      </c>
      <c r="Q1112" t="s">
        <v>63</v>
      </c>
      <c r="R1112" s="11">
        <f t="shared" si="34"/>
        <v>6300</v>
      </c>
      <c r="S1112" t="str">
        <f t="shared" si="35"/>
        <v>One-Time</v>
      </c>
    </row>
    <row r="1113" spans="1:19" ht="15" customHeight="1" x14ac:dyDescent="0.3">
      <c r="A1113">
        <v>1112</v>
      </c>
      <c r="B1113" t="s">
        <v>1553</v>
      </c>
      <c r="C1113">
        <v>781625</v>
      </c>
      <c r="D1113" t="s">
        <v>114</v>
      </c>
      <c r="E1113">
        <v>18</v>
      </c>
      <c r="F1113" t="s">
        <v>75</v>
      </c>
      <c r="G1113" s="10">
        <v>45401</v>
      </c>
      <c r="H1113" t="s">
        <v>40</v>
      </c>
      <c r="I1113" t="s">
        <v>82</v>
      </c>
      <c r="J1113" t="s">
        <v>47</v>
      </c>
      <c r="K1113" t="s">
        <v>128</v>
      </c>
      <c r="L1113" t="s">
        <v>56</v>
      </c>
      <c r="M1113" t="s">
        <v>116</v>
      </c>
      <c r="N1113">
        <v>2</v>
      </c>
      <c r="O1113" t="s">
        <v>117</v>
      </c>
      <c r="P1113" s="11">
        <v>6300</v>
      </c>
      <c r="Q1113" t="s">
        <v>524</v>
      </c>
      <c r="R1113" s="11">
        <f t="shared" si="34"/>
        <v>6300</v>
      </c>
      <c r="S1113" t="str">
        <f t="shared" si="35"/>
        <v>One-Time</v>
      </c>
    </row>
    <row r="1114" spans="1:19" ht="15" customHeight="1" x14ac:dyDescent="0.3">
      <c r="A1114">
        <v>1113</v>
      </c>
      <c r="B1114" t="s">
        <v>1554</v>
      </c>
      <c r="C1114">
        <v>9106012</v>
      </c>
      <c r="D1114" t="s">
        <v>114</v>
      </c>
      <c r="E1114">
        <v>35</v>
      </c>
      <c r="F1114" t="s">
        <v>76</v>
      </c>
      <c r="G1114" s="10">
        <v>45402</v>
      </c>
      <c r="H1114" t="s">
        <v>40</v>
      </c>
      <c r="I1114" t="s">
        <v>82</v>
      </c>
      <c r="J1114" t="s">
        <v>47</v>
      </c>
      <c r="K1114" t="s">
        <v>132</v>
      </c>
      <c r="L1114" t="s">
        <v>56</v>
      </c>
      <c r="M1114" t="s">
        <v>116</v>
      </c>
      <c r="N1114">
        <v>8</v>
      </c>
      <c r="O1114" t="s">
        <v>117</v>
      </c>
      <c r="P1114" s="11">
        <v>6300</v>
      </c>
      <c r="Q1114" t="s">
        <v>1555</v>
      </c>
      <c r="R1114" s="11">
        <f t="shared" si="34"/>
        <v>6300</v>
      </c>
      <c r="S1114" t="str">
        <f t="shared" si="35"/>
        <v>One-Time</v>
      </c>
    </row>
    <row r="1115" spans="1:19" ht="15" customHeight="1" x14ac:dyDescent="0.3">
      <c r="A1115">
        <v>1114</v>
      </c>
      <c r="B1115" t="s">
        <v>1556</v>
      </c>
      <c r="C1115">
        <v>8784631</v>
      </c>
      <c r="D1115" t="s">
        <v>114</v>
      </c>
      <c r="E1115">
        <v>28</v>
      </c>
      <c r="F1115" t="s">
        <v>75</v>
      </c>
      <c r="G1115" s="10">
        <v>45403</v>
      </c>
      <c r="H1115" t="s">
        <v>40</v>
      </c>
      <c r="I1115" t="s">
        <v>82</v>
      </c>
      <c r="J1115" t="s">
        <v>47</v>
      </c>
      <c r="K1115" t="s">
        <v>135</v>
      </c>
      <c r="L1115" t="s">
        <v>56</v>
      </c>
      <c r="M1115" t="s">
        <v>122</v>
      </c>
      <c r="N1115">
        <v>4</v>
      </c>
      <c r="O1115" t="s">
        <v>117</v>
      </c>
      <c r="P1115" s="11">
        <v>6300</v>
      </c>
      <c r="Q1115" t="s">
        <v>65</v>
      </c>
      <c r="R1115" s="11">
        <f t="shared" si="34"/>
        <v>6300</v>
      </c>
      <c r="S1115" t="str">
        <f t="shared" si="35"/>
        <v>One-Time</v>
      </c>
    </row>
    <row r="1116" spans="1:19" ht="15" customHeight="1" x14ac:dyDescent="0.3">
      <c r="A1116">
        <v>1115</v>
      </c>
      <c r="B1116" t="s">
        <v>1557</v>
      </c>
      <c r="C1116">
        <v>6382984</v>
      </c>
      <c r="D1116" t="s">
        <v>114</v>
      </c>
      <c r="E1116">
        <v>41</v>
      </c>
      <c r="F1116" t="s">
        <v>76</v>
      </c>
      <c r="G1116" s="10">
        <v>45404</v>
      </c>
      <c r="H1116" t="s">
        <v>40</v>
      </c>
      <c r="I1116" t="s">
        <v>82</v>
      </c>
      <c r="J1116" t="s">
        <v>47</v>
      </c>
      <c r="K1116" t="s">
        <v>138</v>
      </c>
      <c r="L1116" t="s">
        <v>56</v>
      </c>
      <c r="M1116" t="s">
        <v>122</v>
      </c>
      <c r="N1116">
        <v>6</v>
      </c>
      <c r="O1116" t="s">
        <v>117</v>
      </c>
      <c r="P1116" s="11">
        <v>6300</v>
      </c>
      <c r="Q1116" t="s">
        <v>62</v>
      </c>
      <c r="R1116" s="11">
        <f t="shared" si="34"/>
        <v>6300</v>
      </c>
      <c r="S1116" t="str">
        <f t="shared" si="35"/>
        <v>Repeat</v>
      </c>
    </row>
    <row r="1117" spans="1:19" ht="15" customHeight="1" x14ac:dyDescent="0.3">
      <c r="A1117">
        <v>1116</v>
      </c>
      <c r="B1117" t="s">
        <v>1557</v>
      </c>
      <c r="C1117">
        <v>6382984</v>
      </c>
      <c r="D1117" t="s">
        <v>114</v>
      </c>
      <c r="E1117">
        <v>38</v>
      </c>
      <c r="F1117" t="s">
        <v>76</v>
      </c>
      <c r="G1117" s="10">
        <v>45405</v>
      </c>
      <c r="H1117" t="s">
        <v>40</v>
      </c>
      <c r="I1117" t="s">
        <v>82</v>
      </c>
      <c r="J1117" t="s">
        <v>47</v>
      </c>
      <c r="K1117" t="s">
        <v>140</v>
      </c>
      <c r="L1117" t="s">
        <v>56</v>
      </c>
      <c r="M1117" t="s">
        <v>122</v>
      </c>
      <c r="N1117">
        <v>5</v>
      </c>
      <c r="O1117" t="s">
        <v>117</v>
      </c>
      <c r="P1117" s="11">
        <v>6300</v>
      </c>
      <c r="Q1117" t="s">
        <v>66</v>
      </c>
      <c r="R1117" s="11">
        <f t="shared" si="34"/>
        <v>6300</v>
      </c>
      <c r="S1117" t="str">
        <f t="shared" si="35"/>
        <v>Repeat</v>
      </c>
    </row>
    <row r="1118" spans="1:19" ht="15" customHeight="1" x14ac:dyDescent="0.3">
      <c r="A1118">
        <v>1117</v>
      </c>
      <c r="B1118" t="s">
        <v>1558</v>
      </c>
      <c r="C1118">
        <v>3409162</v>
      </c>
      <c r="D1118" t="s">
        <v>114</v>
      </c>
      <c r="E1118">
        <v>29</v>
      </c>
      <c r="F1118" t="s">
        <v>75</v>
      </c>
      <c r="G1118" s="10">
        <v>45406</v>
      </c>
      <c r="H1118" t="s">
        <v>40</v>
      </c>
      <c r="I1118" t="s">
        <v>82</v>
      </c>
      <c r="J1118" t="s">
        <v>50</v>
      </c>
      <c r="K1118" t="s">
        <v>142</v>
      </c>
      <c r="L1118" t="s">
        <v>56</v>
      </c>
      <c r="M1118" t="s">
        <v>122</v>
      </c>
      <c r="N1118">
        <v>23</v>
      </c>
      <c r="O1118" t="s">
        <v>117</v>
      </c>
      <c r="P1118" s="11">
        <v>6600</v>
      </c>
      <c r="Q1118" t="s">
        <v>902</v>
      </c>
      <c r="R1118" s="11">
        <f t="shared" si="34"/>
        <v>6600</v>
      </c>
      <c r="S1118" t="str">
        <f t="shared" si="35"/>
        <v>One-Time</v>
      </c>
    </row>
    <row r="1119" spans="1:19" ht="15" customHeight="1" x14ac:dyDescent="0.3">
      <c r="A1119">
        <v>1118</v>
      </c>
      <c r="B1119" t="s">
        <v>1559</v>
      </c>
      <c r="C1119">
        <v>268369</v>
      </c>
      <c r="D1119" t="s">
        <v>114</v>
      </c>
      <c r="E1119">
        <v>75</v>
      </c>
      <c r="F1119" t="s">
        <v>77</v>
      </c>
      <c r="G1119" s="10">
        <v>45407</v>
      </c>
      <c r="H1119" t="s">
        <v>40</v>
      </c>
      <c r="I1119" t="s">
        <v>82</v>
      </c>
      <c r="J1119" t="s">
        <v>50</v>
      </c>
      <c r="K1119" t="s">
        <v>144</v>
      </c>
      <c r="L1119" t="s">
        <v>56</v>
      </c>
      <c r="M1119" t="s">
        <v>122</v>
      </c>
      <c r="N1119">
        <v>2</v>
      </c>
      <c r="O1119" t="s">
        <v>117</v>
      </c>
      <c r="P1119" s="11">
        <v>6600</v>
      </c>
      <c r="Q1119" t="s">
        <v>563</v>
      </c>
      <c r="R1119" s="11">
        <f t="shared" si="34"/>
        <v>6600</v>
      </c>
      <c r="S1119" t="str">
        <f t="shared" si="35"/>
        <v>One-Time</v>
      </c>
    </row>
    <row r="1120" spans="1:19" ht="15" customHeight="1" x14ac:dyDescent="0.3">
      <c r="A1120">
        <v>1119</v>
      </c>
      <c r="B1120" t="s">
        <v>1560</v>
      </c>
      <c r="C1120">
        <v>7747946</v>
      </c>
      <c r="D1120" t="s">
        <v>114</v>
      </c>
      <c r="E1120">
        <v>18</v>
      </c>
      <c r="F1120" t="s">
        <v>75</v>
      </c>
      <c r="G1120" s="10">
        <v>45408</v>
      </c>
      <c r="H1120" t="s">
        <v>40</v>
      </c>
      <c r="I1120" t="s">
        <v>82</v>
      </c>
      <c r="J1120" t="s">
        <v>50</v>
      </c>
      <c r="K1120" t="s">
        <v>146</v>
      </c>
      <c r="L1120" t="s">
        <v>56</v>
      </c>
      <c r="M1120" t="s">
        <v>122</v>
      </c>
      <c r="N1120">
        <v>5</v>
      </c>
      <c r="O1120" t="s">
        <v>117</v>
      </c>
      <c r="P1120" s="11">
        <v>6600</v>
      </c>
      <c r="Q1120" t="s">
        <v>62</v>
      </c>
      <c r="R1120" s="11">
        <f t="shared" si="34"/>
        <v>6600</v>
      </c>
      <c r="S1120" t="str">
        <f t="shared" si="35"/>
        <v>One-Time</v>
      </c>
    </row>
    <row r="1121" spans="1:19" ht="15" customHeight="1" x14ac:dyDescent="0.3">
      <c r="A1121">
        <v>1120</v>
      </c>
      <c r="B1121" t="s">
        <v>1561</v>
      </c>
      <c r="C1121">
        <v>4576235</v>
      </c>
      <c r="D1121" t="s">
        <v>114</v>
      </c>
      <c r="E1121">
        <v>34</v>
      </c>
      <c r="F1121" t="s">
        <v>76</v>
      </c>
      <c r="G1121" s="10">
        <v>45409</v>
      </c>
      <c r="H1121" t="s">
        <v>40</v>
      </c>
      <c r="I1121" t="s">
        <v>82</v>
      </c>
      <c r="J1121" t="s">
        <v>50</v>
      </c>
      <c r="K1121" t="s">
        <v>115</v>
      </c>
      <c r="L1121" t="s">
        <v>56</v>
      </c>
      <c r="M1121" t="s">
        <v>122</v>
      </c>
      <c r="N1121">
        <v>9</v>
      </c>
      <c r="O1121" t="s">
        <v>117</v>
      </c>
      <c r="P1121" s="11">
        <v>6600</v>
      </c>
      <c r="Q1121" t="s">
        <v>1562</v>
      </c>
      <c r="R1121" s="11">
        <f t="shared" si="34"/>
        <v>6600</v>
      </c>
      <c r="S1121" t="str">
        <f t="shared" si="35"/>
        <v>One-Time</v>
      </c>
    </row>
    <row r="1122" spans="1:19" ht="15" customHeight="1" x14ac:dyDescent="0.3">
      <c r="A1122">
        <v>1121</v>
      </c>
      <c r="B1122" t="s">
        <v>1563</v>
      </c>
      <c r="C1122">
        <v>9819217</v>
      </c>
      <c r="D1122" t="s">
        <v>114</v>
      </c>
      <c r="E1122">
        <v>28</v>
      </c>
      <c r="F1122" t="s">
        <v>75</v>
      </c>
      <c r="G1122" s="10">
        <v>45410</v>
      </c>
      <c r="H1122" t="s">
        <v>40</v>
      </c>
      <c r="I1122" t="s">
        <v>82</v>
      </c>
      <c r="J1122" t="s">
        <v>50</v>
      </c>
      <c r="K1122" t="s">
        <v>115</v>
      </c>
      <c r="L1122" t="s">
        <v>56</v>
      </c>
      <c r="M1122" t="s">
        <v>122</v>
      </c>
      <c r="N1122">
        <v>27</v>
      </c>
      <c r="O1122" t="s">
        <v>117</v>
      </c>
      <c r="P1122" s="11">
        <v>6500</v>
      </c>
      <c r="Q1122" t="s">
        <v>1564</v>
      </c>
      <c r="R1122" s="11">
        <f t="shared" si="34"/>
        <v>6500</v>
      </c>
      <c r="S1122" t="str">
        <f t="shared" si="35"/>
        <v>One-Time</v>
      </c>
    </row>
    <row r="1123" spans="1:19" ht="15" customHeight="1" x14ac:dyDescent="0.3">
      <c r="A1123">
        <v>1122</v>
      </c>
      <c r="B1123" t="s">
        <v>1565</v>
      </c>
      <c r="C1123">
        <v>9419371</v>
      </c>
      <c r="D1123" t="s">
        <v>114</v>
      </c>
      <c r="E1123">
        <v>45</v>
      </c>
      <c r="F1123" t="s">
        <v>76</v>
      </c>
      <c r="G1123" s="10">
        <v>45411</v>
      </c>
      <c r="H1123" t="s">
        <v>40</v>
      </c>
      <c r="I1123" t="s">
        <v>82</v>
      </c>
      <c r="J1123" t="s">
        <v>50</v>
      </c>
      <c r="K1123" t="s">
        <v>115</v>
      </c>
      <c r="L1123" t="s">
        <v>56</v>
      </c>
      <c r="M1123" t="s">
        <v>122</v>
      </c>
      <c r="N1123">
        <v>6</v>
      </c>
      <c r="O1123" t="s">
        <v>117</v>
      </c>
      <c r="P1123" s="11">
        <v>6500</v>
      </c>
      <c r="Q1123" t="s">
        <v>70</v>
      </c>
      <c r="R1123" s="11">
        <f t="shared" si="34"/>
        <v>6500</v>
      </c>
      <c r="S1123" t="str">
        <f t="shared" si="35"/>
        <v>One-Time</v>
      </c>
    </row>
    <row r="1124" spans="1:19" ht="15" customHeight="1" x14ac:dyDescent="0.3">
      <c r="A1124">
        <v>1123</v>
      </c>
      <c r="B1124" t="s">
        <v>1566</v>
      </c>
      <c r="C1124">
        <v>2984947</v>
      </c>
      <c r="D1124" t="s">
        <v>114</v>
      </c>
      <c r="E1124">
        <v>69</v>
      </c>
      <c r="F1124" t="s">
        <v>77</v>
      </c>
      <c r="G1124" s="10">
        <v>45412</v>
      </c>
      <c r="H1124" t="s">
        <v>40</v>
      </c>
      <c r="I1124" t="s">
        <v>82</v>
      </c>
      <c r="J1124" t="s">
        <v>50</v>
      </c>
      <c r="K1124" t="s">
        <v>115</v>
      </c>
      <c r="L1124" t="s">
        <v>56</v>
      </c>
      <c r="M1124" t="s">
        <v>122</v>
      </c>
      <c r="N1124">
        <v>6</v>
      </c>
      <c r="O1124" t="s">
        <v>117</v>
      </c>
      <c r="P1124" s="11">
        <v>6500</v>
      </c>
      <c r="Q1124" t="s">
        <v>304</v>
      </c>
      <c r="R1124" s="11">
        <f t="shared" si="34"/>
        <v>6500</v>
      </c>
      <c r="S1124" t="str">
        <f t="shared" si="35"/>
        <v>One-Time</v>
      </c>
    </row>
    <row r="1125" spans="1:19" ht="15" customHeight="1" x14ac:dyDescent="0.3">
      <c r="A1125">
        <v>1124</v>
      </c>
      <c r="B1125" t="s">
        <v>1567</v>
      </c>
      <c r="C1125">
        <v>4088819</v>
      </c>
      <c r="D1125" t="s">
        <v>392</v>
      </c>
      <c r="E1125">
        <v>26</v>
      </c>
      <c r="F1125" t="s">
        <v>75</v>
      </c>
      <c r="G1125" s="10">
        <v>45413</v>
      </c>
      <c r="H1125" t="s">
        <v>41</v>
      </c>
      <c r="I1125" t="s">
        <v>82</v>
      </c>
      <c r="J1125" t="s">
        <v>50</v>
      </c>
      <c r="K1125" t="s">
        <v>115</v>
      </c>
      <c r="L1125" t="s">
        <v>56</v>
      </c>
      <c r="M1125" t="s">
        <v>122</v>
      </c>
      <c r="N1125">
        <v>2</v>
      </c>
      <c r="O1125" t="s">
        <v>117</v>
      </c>
      <c r="P1125" s="11">
        <v>6500</v>
      </c>
      <c r="Q1125" t="s">
        <v>67</v>
      </c>
      <c r="R1125" s="11">
        <f t="shared" si="34"/>
        <v>6500</v>
      </c>
      <c r="S1125" t="str">
        <f t="shared" si="35"/>
        <v>One-Time</v>
      </c>
    </row>
    <row r="1126" spans="1:19" ht="15" customHeight="1" x14ac:dyDescent="0.3">
      <c r="A1126">
        <v>1125</v>
      </c>
      <c r="B1126" t="s">
        <v>1568</v>
      </c>
      <c r="C1126">
        <v>7200684</v>
      </c>
      <c r="D1126" t="s">
        <v>392</v>
      </c>
      <c r="E1126">
        <v>40</v>
      </c>
      <c r="F1126" t="s">
        <v>76</v>
      </c>
      <c r="G1126" s="10">
        <v>45414</v>
      </c>
      <c r="H1126" t="s">
        <v>41</v>
      </c>
      <c r="I1126" t="s">
        <v>82</v>
      </c>
      <c r="J1126" t="s">
        <v>50</v>
      </c>
      <c r="K1126" t="s">
        <v>115</v>
      </c>
      <c r="L1126" t="s">
        <v>56</v>
      </c>
      <c r="M1126" t="s">
        <v>122</v>
      </c>
      <c r="N1126">
        <v>32</v>
      </c>
      <c r="O1126" t="s">
        <v>117</v>
      </c>
      <c r="P1126" s="11">
        <v>6500</v>
      </c>
      <c r="Q1126" t="s">
        <v>1258</v>
      </c>
      <c r="R1126" s="11">
        <f t="shared" si="34"/>
        <v>6500</v>
      </c>
      <c r="S1126" t="str">
        <f t="shared" si="35"/>
        <v>One-Time</v>
      </c>
    </row>
    <row r="1127" spans="1:19" ht="15" customHeight="1" x14ac:dyDescent="0.3">
      <c r="A1127">
        <v>1126</v>
      </c>
      <c r="B1127" t="s">
        <v>1569</v>
      </c>
      <c r="C1127">
        <v>6143193</v>
      </c>
      <c r="D1127" t="s">
        <v>392</v>
      </c>
      <c r="E1127">
        <v>23</v>
      </c>
      <c r="F1127" t="s">
        <v>75</v>
      </c>
      <c r="G1127" s="10">
        <v>45415</v>
      </c>
      <c r="H1127" t="s">
        <v>41</v>
      </c>
      <c r="I1127" t="s">
        <v>82</v>
      </c>
      <c r="J1127" t="s">
        <v>50</v>
      </c>
      <c r="K1127" t="s">
        <v>121</v>
      </c>
      <c r="L1127" t="s">
        <v>56</v>
      </c>
      <c r="M1127" t="s">
        <v>122</v>
      </c>
      <c r="N1127">
        <v>3</v>
      </c>
      <c r="O1127" t="s">
        <v>117</v>
      </c>
      <c r="P1127" s="11">
        <v>6500</v>
      </c>
      <c r="Q1127" t="s">
        <v>66</v>
      </c>
      <c r="R1127" s="11">
        <f t="shared" si="34"/>
        <v>6500</v>
      </c>
      <c r="S1127" t="str">
        <f t="shared" si="35"/>
        <v>One-Time</v>
      </c>
    </row>
    <row r="1128" spans="1:19" ht="15" customHeight="1" x14ac:dyDescent="0.3">
      <c r="A1128">
        <v>1127</v>
      </c>
      <c r="B1128" t="s">
        <v>1570</v>
      </c>
      <c r="C1128">
        <v>2913362</v>
      </c>
      <c r="D1128" t="s">
        <v>114</v>
      </c>
      <c r="E1128">
        <v>35</v>
      </c>
      <c r="F1128" t="s">
        <v>76</v>
      </c>
      <c r="G1128" s="10">
        <v>45416</v>
      </c>
      <c r="H1128" t="s">
        <v>41</v>
      </c>
      <c r="I1128" t="s">
        <v>82</v>
      </c>
      <c r="J1128" t="s">
        <v>50</v>
      </c>
      <c r="K1128" t="s">
        <v>121</v>
      </c>
      <c r="L1128" t="s">
        <v>56</v>
      </c>
      <c r="M1128" t="s">
        <v>122</v>
      </c>
      <c r="N1128">
        <v>48</v>
      </c>
      <c r="O1128" t="s">
        <v>117</v>
      </c>
      <c r="P1128" s="11">
        <v>6500</v>
      </c>
      <c r="Q1128" t="s">
        <v>66</v>
      </c>
      <c r="R1128" s="11">
        <f t="shared" si="34"/>
        <v>6500</v>
      </c>
      <c r="S1128" t="str">
        <f t="shared" si="35"/>
        <v>One-Time</v>
      </c>
    </row>
    <row r="1129" spans="1:19" ht="15" customHeight="1" x14ac:dyDescent="0.3">
      <c r="A1129">
        <v>1128</v>
      </c>
      <c r="B1129" t="s">
        <v>1571</v>
      </c>
      <c r="C1129">
        <v>3137600</v>
      </c>
      <c r="D1129" t="s">
        <v>392</v>
      </c>
      <c r="E1129">
        <v>45</v>
      </c>
      <c r="F1129" t="s">
        <v>76</v>
      </c>
      <c r="G1129" s="10">
        <v>45417</v>
      </c>
      <c r="H1129" t="s">
        <v>41</v>
      </c>
      <c r="I1129" t="s">
        <v>82</v>
      </c>
      <c r="J1129" t="s">
        <v>50</v>
      </c>
      <c r="K1129" t="s">
        <v>121</v>
      </c>
      <c r="L1129" t="s">
        <v>56</v>
      </c>
      <c r="M1129" t="s">
        <v>122</v>
      </c>
      <c r="N1129">
        <v>5</v>
      </c>
      <c r="O1129" t="s">
        <v>117</v>
      </c>
      <c r="P1129" s="11">
        <v>7500</v>
      </c>
      <c r="Q1129" t="s">
        <v>592</v>
      </c>
      <c r="R1129" s="11">
        <f t="shared" si="34"/>
        <v>7500</v>
      </c>
      <c r="S1129" t="str">
        <f t="shared" si="35"/>
        <v>One-Time</v>
      </c>
    </row>
    <row r="1130" spans="1:19" ht="15" customHeight="1" x14ac:dyDescent="0.3">
      <c r="A1130">
        <v>1129</v>
      </c>
      <c r="B1130" t="s">
        <v>1572</v>
      </c>
      <c r="C1130">
        <v>957621</v>
      </c>
      <c r="D1130" t="s">
        <v>392</v>
      </c>
      <c r="E1130">
        <v>78</v>
      </c>
      <c r="F1130" t="s">
        <v>77</v>
      </c>
      <c r="G1130" s="10">
        <v>45418</v>
      </c>
      <c r="H1130" t="s">
        <v>41</v>
      </c>
      <c r="I1130" t="s">
        <v>82</v>
      </c>
      <c r="J1130" t="s">
        <v>50</v>
      </c>
      <c r="K1130" t="s">
        <v>121</v>
      </c>
      <c r="L1130" t="s">
        <v>56</v>
      </c>
      <c r="M1130" t="s">
        <v>122</v>
      </c>
      <c r="N1130">
        <v>2</v>
      </c>
      <c r="O1130" t="s">
        <v>117</v>
      </c>
      <c r="P1130" s="11">
        <v>7500</v>
      </c>
      <c r="Q1130" t="s">
        <v>63</v>
      </c>
      <c r="R1130" s="11">
        <f t="shared" si="34"/>
        <v>7500</v>
      </c>
      <c r="S1130" t="str">
        <f t="shared" si="35"/>
        <v>One-Time</v>
      </c>
    </row>
    <row r="1131" spans="1:19" ht="15" customHeight="1" x14ac:dyDescent="0.3">
      <c r="A1131">
        <v>1130</v>
      </c>
      <c r="B1131" t="s">
        <v>1573</v>
      </c>
      <c r="C1131">
        <v>3447197</v>
      </c>
      <c r="D1131" t="s">
        <v>392</v>
      </c>
      <c r="E1131">
        <v>28</v>
      </c>
      <c r="F1131" t="s">
        <v>75</v>
      </c>
      <c r="G1131" s="10">
        <v>45419</v>
      </c>
      <c r="H1131" t="s">
        <v>41</v>
      </c>
      <c r="I1131" t="s">
        <v>82</v>
      </c>
      <c r="J1131" t="s">
        <v>50</v>
      </c>
      <c r="K1131" t="s">
        <v>163</v>
      </c>
      <c r="L1131" t="s">
        <v>57</v>
      </c>
      <c r="M1131" t="s">
        <v>122</v>
      </c>
      <c r="N1131">
        <v>9</v>
      </c>
      <c r="O1131" t="s">
        <v>117</v>
      </c>
      <c r="P1131" s="11">
        <v>7500</v>
      </c>
      <c r="Q1131" t="s">
        <v>1574</v>
      </c>
      <c r="R1131" s="11">
        <f t="shared" si="34"/>
        <v>7500</v>
      </c>
      <c r="S1131" t="str">
        <f t="shared" si="35"/>
        <v>One-Time</v>
      </c>
    </row>
    <row r="1132" spans="1:19" ht="15" customHeight="1" x14ac:dyDescent="0.3">
      <c r="A1132">
        <v>1131</v>
      </c>
      <c r="B1132" t="s">
        <v>1575</v>
      </c>
      <c r="C1132">
        <v>1705244</v>
      </c>
      <c r="D1132" t="s">
        <v>114</v>
      </c>
      <c r="E1132">
        <v>74</v>
      </c>
      <c r="F1132" t="s">
        <v>77</v>
      </c>
      <c r="G1132" s="10">
        <v>45420</v>
      </c>
      <c r="H1132" t="s">
        <v>41</v>
      </c>
      <c r="I1132" t="s">
        <v>82</v>
      </c>
      <c r="J1132" t="s">
        <v>50</v>
      </c>
      <c r="K1132" t="s">
        <v>165</v>
      </c>
      <c r="L1132" t="s">
        <v>57</v>
      </c>
      <c r="M1132" t="s">
        <v>122</v>
      </c>
      <c r="N1132">
        <v>7</v>
      </c>
      <c r="O1132" t="s">
        <v>117</v>
      </c>
      <c r="P1132" s="11">
        <v>7500</v>
      </c>
      <c r="Q1132" t="s">
        <v>1576</v>
      </c>
      <c r="R1132" s="11">
        <f t="shared" si="34"/>
        <v>7500</v>
      </c>
      <c r="S1132" t="str">
        <f t="shared" si="35"/>
        <v>One-Time</v>
      </c>
    </row>
    <row r="1133" spans="1:19" ht="15" customHeight="1" x14ac:dyDescent="0.3">
      <c r="A1133">
        <v>1132</v>
      </c>
      <c r="B1133" t="s">
        <v>1577</v>
      </c>
      <c r="C1133">
        <v>9614792</v>
      </c>
      <c r="D1133" t="s">
        <v>392</v>
      </c>
      <c r="E1133">
        <v>27</v>
      </c>
      <c r="F1133" t="s">
        <v>75</v>
      </c>
      <c r="G1133" s="10">
        <v>45421</v>
      </c>
      <c r="H1133" t="s">
        <v>41</v>
      </c>
      <c r="I1133" t="s">
        <v>82</v>
      </c>
      <c r="J1133" t="s">
        <v>50</v>
      </c>
      <c r="K1133" t="s">
        <v>168</v>
      </c>
      <c r="L1133" t="s">
        <v>57</v>
      </c>
      <c r="M1133" t="s">
        <v>122</v>
      </c>
      <c r="N1133">
        <v>2</v>
      </c>
      <c r="O1133" t="s">
        <v>117</v>
      </c>
      <c r="P1133" s="11">
        <v>7500</v>
      </c>
      <c r="Q1133" t="s">
        <v>66</v>
      </c>
      <c r="R1133" s="11">
        <f t="shared" si="34"/>
        <v>7500</v>
      </c>
      <c r="S1133" t="str">
        <f t="shared" si="35"/>
        <v>One-Time</v>
      </c>
    </row>
    <row r="1134" spans="1:19" ht="15" customHeight="1" x14ac:dyDescent="0.3">
      <c r="A1134">
        <v>1133</v>
      </c>
      <c r="B1134" t="s">
        <v>1578</v>
      </c>
      <c r="C1134">
        <v>8301835</v>
      </c>
      <c r="D1134" t="s">
        <v>114</v>
      </c>
      <c r="E1134">
        <v>59</v>
      </c>
      <c r="F1134" t="s">
        <v>77</v>
      </c>
      <c r="G1134" s="10">
        <v>45422</v>
      </c>
      <c r="H1134" t="s">
        <v>41</v>
      </c>
      <c r="I1134" t="s">
        <v>82</v>
      </c>
      <c r="J1134" t="s">
        <v>50</v>
      </c>
      <c r="K1134" t="s">
        <v>171</v>
      </c>
      <c r="L1134" t="s">
        <v>57</v>
      </c>
      <c r="M1134" t="s">
        <v>116</v>
      </c>
      <c r="N1134">
        <v>8</v>
      </c>
      <c r="O1134" t="s">
        <v>117</v>
      </c>
      <c r="P1134" s="11">
        <v>7500</v>
      </c>
      <c r="Q1134" t="s">
        <v>886</v>
      </c>
      <c r="R1134" s="11">
        <f t="shared" si="34"/>
        <v>7500</v>
      </c>
      <c r="S1134" t="str">
        <f t="shared" si="35"/>
        <v>One-Time</v>
      </c>
    </row>
    <row r="1135" spans="1:19" ht="15" customHeight="1" x14ac:dyDescent="0.3">
      <c r="A1135">
        <v>1134</v>
      </c>
      <c r="B1135" t="s">
        <v>1579</v>
      </c>
      <c r="C1135">
        <v>2627419</v>
      </c>
      <c r="D1135" t="s">
        <v>392</v>
      </c>
      <c r="E1135">
        <v>41</v>
      </c>
      <c r="F1135" t="s">
        <v>76</v>
      </c>
      <c r="G1135" s="10">
        <v>45423</v>
      </c>
      <c r="H1135" t="s">
        <v>41</v>
      </c>
      <c r="I1135" t="s">
        <v>82</v>
      </c>
      <c r="J1135" t="s">
        <v>50</v>
      </c>
      <c r="K1135" t="s">
        <v>173</v>
      </c>
      <c r="L1135" t="s">
        <v>57</v>
      </c>
      <c r="M1135" t="s">
        <v>116</v>
      </c>
      <c r="N1135">
        <v>4</v>
      </c>
      <c r="O1135" t="s">
        <v>117</v>
      </c>
      <c r="P1135" s="11">
        <v>7500</v>
      </c>
      <c r="Q1135" t="s">
        <v>64</v>
      </c>
      <c r="R1135" s="11">
        <f t="shared" si="34"/>
        <v>7500</v>
      </c>
      <c r="S1135" t="str">
        <f t="shared" si="35"/>
        <v>One-Time</v>
      </c>
    </row>
    <row r="1136" spans="1:19" ht="15" customHeight="1" x14ac:dyDescent="0.3">
      <c r="A1136">
        <v>1135</v>
      </c>
      <c r="B1136" t="s">
        <v>1580</v>
      </c>
      <c r="C1136">
        <v>3515311</v>
      </c>
      <c r="D1136" t="s">
        <v>392</v>
      </c>
      <c r="E1136">
        <v>37</v>
      </c>
      <c r="F1136" t="s">
        <v>76</v>
      </c>
      <c r="G1136" s="10">
        <v>45424</v>
      </c>
      <c r="H1136" t="s">
        <v>41</v>
      </c>
      <c r="I1136" t="s">
        <v>82</v>
      </c>
      <c r="J1136" t="s">
        <v>50</v>
      </c>
      <c r="K1136" t="s">
        <v>176</v>
      </c>
      <c r="L1136" t="s">
        <v>57</v>
      </c>
      <c r="M1136" t="s">
        <v>116</v>
      </c>
      <c r="N1136">
        <v>5</v>
      </c>
      <c r="O1136" t="s">
        <v>117</v>
      </c>
      <c r="P1136" s="11">
        <v>7500</v>
      </c>
      <c r="Q1136" t="s">
        <v>350</v>
      </c>
      <c r="R1136" s="11">
        <f t="shared" si="34"/>
        <v>7500</v>
      </c>
      <c r="S1136" t="str">
        <f t="shared" si="35"/>
        <v>One-Time</v>
      </c>
    </row>
    <row r="1137" spans="1:19" ht="15" customHeight="1" x14ac:dyDescent="0.3">
      <c r="A1137">
        <v>1136</v>
      </c>
      <c r="B1137" t="s">
        <v>1581</v>
      </c>
      <c r="C1137">
        <v>3198986</v>
      </c>
      <c r="D1137" t="s">
        <v>114</v>
      </c>
      <c r="E1137">
        <v>45</v>
      </c>
      <c r="F1137" t="s">
        <v>76</v>
      </c>
      <c r="G1137" s="10">
        <v>45425</v>
      </c>
      <c r="H1137" t="s">
        <v>41</v>
      </c>
      <c r="I1137" t="s">
        <v>82</v>
      </c>
      <c r="J1137" t="s">
        <v>50</v>
      </c>
      <c r="K1137" t="s">
        <v>179</v>
      </c>
      <c r="L1137" t="s">
        <v>57</v>
      </c>
      <c r="M1137" t="s">
        <v>116</v>
      </c>
      <c r="N1137">
        <v>6</v>
      </c>
      <c r="O1137" t="s">
        <v>117</v>
      </c>
      <c r="P1137" s="11">
        <v>5800</v>
      </c>
      <c r="Q1137" t="s">
        <v>1582</v>
      </c>
      <c r="R1137" s="11">
        <f t="shared" si="34"/>
        <v>5800</v>
      </c>
      <c r="S1137" t="str">
        <f t="shared" si="35"/>
        <v>Repeat</v>
      </c>
    </row>
    <row r="1138" spans="1:19" ht="15" customHeight="1" x14ac:dyDescent="0.3">
      <c r="A1138">
        <v>1137</v>
      </c>
      <c r="B1138" t="s">
        <v>1581</v>
      </c>
      <c r="C1138">
        <v>3198986</v>
      </c>
      <c r="D1138" t="s">
        <v>114</v>
      </c>
      <c r="E1138">
        <v>27</v>
      </c>
      <c r="F1138" t="s">
        <v>75</v>
      </c>
      <c r="G1138" s="10">
        <v>45426</v>
      </c>
      <c r="H1138" t="s">
        <v>41</v>
      </c>
      <c r="I1138" t="s">
        <v>82</v>
      </c>
      <c r="J1138" t="s">
        <v>50</v>
      </c>
      <c r="K1138" t="s">
        <v>182</v>
      </c>
      <c r="L1138" t="s">
        <v>57</v>
      </c>
      <c r="M1138" t="s">
        <v>116</v>
      </c>
      <c r="N1138">
        <v>31</v>
      </c>
      <c r="O1138" t="s">
        <v>117</v>
      </c>
      <c r="P1138" s="11">
        <v>5800</v>
      </c>
      <c r="Q1138" t="s">
        <v>1583</v>
      </c>
      <c r="R1138" s="11">
        <f t="shared" si="34"/>
        <v>5800</v>
      </c>
      <c r="S1138" t="str">
        <f t="shared" si="35"/>
        <v>Repeat</v>
      </c>
    </row>
    <row r="1139" spans="1:19" ht="15" customHeight="1" x14ac:dyDescent="0.3">
      <c r="A1139">
        <v>1138</v>
      </c>
      <c r="B1139" t="s">
        <v>1584</v>
      </c>
      <c r="C1139">
        <v>6279164</v>
      </c>
      <c r="D1139" t="s">
        <v>392</v>
      </c>
      <c r="E1139">
        <v>65</v>
      </c>
      <c r="F1139" t="s">
        <v>77</v>
      </c>
      <c r="G1139" s="10">
        <v>45427</v>
      </c>
      <c r="H1139" t="s">
        <v>41</v>
      </c>
      <c r="I1139" t="s">
        <v>82</v>
      </c>
      <c r="J1139" t="s">
        <v>50</v>
      </c>
      <c r="K1139" t="s">
        <v>184</v>
      </c>
      <c r="L1139" t="s">
        <v>57</v>
      </c>
      <c r="M1139" t="s">
        <v>116</v>
      </c>
      <c r="N1139">
        <v>2</v>
      </c>
      <c r="O1139" t="s">
        <v>117</v>
      </c>
      <c r="P1139" s="11">
        <v>5800</v>
      </c>
      <c r="Q1139" t="s">
        <v>64</v>
      </c>
      <c r="R1139" s="11">
        <f t="shared" si="34"/>
        <v>5800</v>
      </c>
      <c r="S1139" t="str">
        <f t="shared" si="35"/>
        <v>One-Time</v>
      </c>
    </row>
    <row r="1140" spans="1:19" ht="15" customHeight="1" x14ac:dyDescent="0.3">
      <c r="A1140">
        <v>1139</v>
      </c>
      <c r="B1140" t="s">
        <v>1585</v>
      </c>
      <c r="C1140">
        <v>9749497</v>
      </c>
      <c r="D1140" t="s">
        <v>392</v>
      </c>
      <c r="E1140">
        <v>39</v>
      </c>
      <c r="F1140" t="s">
        <v>76</v>
      </c>
      <c r="G1140" s="10">
        <v>45428</v>
      </c>
      <c r="H1140" t="s">
        <v>41</v>
      </c>
      <c r="I1140" t="s">
        <v>84</v>
      </c>
      <c r="J1140" t="s">
        <v>50</v>
      </c>
      <c r="K1140" t="s">
        <v>187</v>
      </c>
      <c r="L1140" t="s">
        <v>57</v>
      </c>
      <c r="M1140" t="s">
        <v>116</v>
      </c>
      <c r="N1140">
        <v>5</v>
      </c>
      <c r="O1140" t="s">
        <v>117</v>
      </c>
      <c r="P1140" s="11">
        <v>5800</v>
      </c>
      <c r="Q1140" t="s">
        <v>64</v>
      </c>
      <c r="R1140" s="11">
        <f t="shared" si="34"/>
        <v>0</v>
      </c>
      <c r="S1140" t="str">
        <f t="shared" si="35"/>
        <v>One-Time</v>
      </c>
    </row>
    <row r="1141" spans="1:19" ht="15" customHeight="1" x14ac:dyDescent="0.3">
      <c r="A1141">
        <v>1140</v>
      </c>
      <c r="B1141" t="s">
        <v>1586</v>
      </c>
      <c r="C1141">
        <v>9660150</v>
      </c>
      <c r="D1141" t="s">
        <v>114</v>
      </c>
      <c r="E1141">
        <v>72</v>
      </c>
      <c r="F1141" t="s">
        <v>77</v>
      </c>
      <c r="G1141" s="10">
        <v>45429</v>
      </c>
      <c r="H1141" t="s">
        <v>41</v>
      </c>
      <c r="I1141" t="s">
        <v>82</v>
      </c>
      <c r="J1141" t="s">
        <v>50</v>
      </c>
      <c r="K1141" t="s">
        <v>190</v>
      </c>
      <c r="L1141" t="s">
        <v>57</v>
      </c>
      <c r="M1141" t="s">
        <v>116</v>
      </c>
      <c r="N1141">
        <v>5</v>
      </c>
      <c r="O1141" t="s">
        <v>117</v>
      </c>
      <c r="P1141" s="11">
        <v>5800</v>
      </c>
      <c r="Q1141" t="s">
        <v>485</v>
      </c>
      <c r="R1141" s="11">
        <f t="shared" si="34"/>
        <v>5800</v>
      </c>
      <c r="S1141" t="str">
        <f t="shared" si="35"/>
        <v>One-Time</v>
      </c>
    </row>
    <row r="1142" spans="1:19" ht="15" customHeight="1" x14ac:dyDescent="0.3">
      <c r="A1142">
        <v>1141</v>
      </c>
      <c r="B1142" t="s">
        <v>1587</v>
      </c>
      <c r="C1142">
        <v>8382670</v>
      </c>
      <c r="D1142" t="s">
        <v>114</v>
      </c>
      <c r="E1142">
        <v>38</v>
      </c>
      <c r="F1142" t="s">
        <v>76</v>
      </c>
      <c r="G1142" s="10">
        <v>45430</v>
      </c>
      <c r="H1142" t="s">
        <v>41</v>
      </c>
      <c r="I1142" t="s">
        <v>84</v>
      </c>
      <c r="J1142" t="s">
        <v>50</v>
      </c>
      <c r="K1142" t="s">
        <v>193</v>
      </c>
      <c r="L1142" t="s">
        <v>57</v>
      </c>
      <c r="M1142" t="s">
        <v>116</v>
      </c>
      <c r="N1142">
        <v>8</v>
      </c>
      <c r="O1142" t="s">
        <v>117</v>
      </c>
      <c r="P1142" s="11">
        <v>5800</v>
      </c>
      <c r="Q1142" t="s">
        <v>1588</v>
      </c>
      <c r="R1142" s="11">
        <f t="shared" si="34"/>
        <v>0</v>
      </c>
      <c r="S1142" t="str">
        <f t="shared" si="35"/>
        <v>One-Time</v>
      </c>
    </row>
    <row r="1143" spans="1:19" ht="15" customHeight="1" x14ac:dyDescent="0.3">
      <c r="A1143">
        <v>1142</v>
      </c>
      <c r="B1143" t="s">
        <v>1589</v>
      </c>
      <c r="C1143">
        <v>3434817</v>
      </c>
      <c r="D1143" t="s">
        <v>114</v>
      </c>
      <c r="E1143">
        <v>47</v>
      </c>
      <c r="F1143" t="s">
        <v>76</v>
      </c>
      <c r="G1143" s="10">
        <v>45431</v>
      </c>
      <c r="H1143" t="s">
        <v>41</v>
      </c>
      <c r="I1143" t="s">
        <v>82</v>
      </c>
      <c r="J1143" t="s">
        <v>50</v>
      </c>
      <c r="K1143" t="s">
        <v>196</v>
      </c>
      <c r="L1143" t="s">
        <v>57</v>
      </c>
      <c r="M1143" t="s">
        <v>116</v>
      </c>
      <c r="N1143">
        <v>9</v>
      </c>
      <c r="O1143" t="s">
        <v>117</v>
      </c>
      <c r="P1143" s="11">
        <v>5500</v>
      </c>
      <c r="Q1143" t="s">
        <v>483</v>
      </c>
      <c r="R1143" s="11">
        <f t="shared" si="34"/>
        <v>5500</v>
      </c>
      <c r="S1143" t="str">
        <f t="shared" si="35"/>
        <v>One-Time</v>
      </c>
    </row>
    <row r="1144" spans="1:19" ht="15" customHeight="1" x14ac:dyDescent="0.3">
      <c r="A1144">
        <v>1143</v>
      </c>
      <c r="B1144" t="s">
        <v>1590</v>
      </c>
      <c r="C1144">
        <v>9026178</v>
      </c>
      <c r="D1144" t="s">
        <v>114</v>
      </c>
      <c r="E1144">
        <v>39</v>
      </c>
      <c r="F1144" t="s">
        <v>76</v>
      </c>
      <c r="G1144" s="10">
        <v>45432</v>
      </c>
      <c r="H1144" t="s">
        <v>41</v>
      </c>
      <c r="I1144" t="s">
        <v>82</v>
      </c>
      <c r="J1144" t="s">
        <v>50</v>
      </c>
      <c r="K1144" t="s">
        <v>198</v>
      </c>
      <c r="L1144" t="s">
        <v>57</v>
      </c>
      <c r="M1144" t="s">
        <v>116</v>
      </c>
      <c r="N1144">
        <v>4</v>
      </c>
      <c r="O1144" t="s">
        <v>117</v>
      </c>
      <c r="P1144" s="11">
        <v>5500</v>
      </c>
      <c r="Q1144" t="s">
        <v>643</v>
      </c>
      <c r="R1144" s="11">
        <f t="shared" si="34"/>
        <v>5500</v>
      </c>
      <c r="S1144" t="str">
        <f t="shared" si="35"/>
        <v>One-Time</v>
      </c>
    </row>
    <row r="1145" spans="1:19" ht="15" customHeight="1" x14ac:dyDescent="0.3">
      <c r="A1145">
        <v>1144</v>
      </c>
      <c r="B1145" t="s">
        <v>1591</v>
      </c>
      <c r="C1145">
        <v>1772770</v>
      </c>
      <c r="D1145" t="s">
        <v>392</v>
      </c>
      <c r="E1145">
        <v>40</v>
      </c>
      <c r="F1145" t="s">
        <v>76</v>
      </c>
      <c r="G1145" s="10">
        <v>45433</v>
      </c>
      <c r="H1145" t="s">
        <v>41</v>
      </c>
      <c r="I1145" t="s">
        <v>83</v>
      </c>
      <c r="J1145" t="s">
        <v>50</v>
      </c>
      <c r="K1145" t="s">
        <v>163</v>
      </c>
      <c r="L1145" t="s">
        <v>57</v>
      </c>
      <c r="M1145" t="s">
        <v>116</v>
      </c>
      <c r="N1145">
        <v>7</v>
      </c>
      <c r="O1145" t="s">
        <v>117</v>
      </c>
      <c r="P1145" s="11">
        <v>5500</v>
      </c>
      <c r="Q1145" t="s">
        <v>63</v>
      </c>
      <c r="R1145" s="11">
        <f t="shared" si="34"/>
        <v>0</v>
      </c>
      <c r="S1145" t="str">
        <f t="shared" si="35"/>
        <v>One-Time</v>
      </c>
    </row>
    <row r="1146" spans="1:19" ht="15" customHeight="1" x14ac:dyDescent="0.3">
      <c r="A1146">
        <v>1145</v>
      </c>
      <c r="B1146" t="s">
        <v>1592</v>
      </c>
      <c r="C1146">
        <v>4810346</v>
      </c>
      <c r="D1146" t="s">
        <v>392</v>
      </c>
      <c r="E1146">
        <v>62</v>
      </c>
      <c r="F1146" t="s">
        <v>77</v>
      </c>
      <c r="G1146" s="10">
        <v>45434</v>
      </c>
      <c r="H1146" t="s">
        <v>41</v>
      </c>
      <c r="I1146" t="s">
        <v>84</v>
      </c>
      <c r="J1146" t="s">
        <v>50</v>
      </c>
      <c r="K1146" t="s">
        <v>163</v>
      </c>
      <c r="L1146" t="s">
        <v>57</v>
      </c>
      <c r="M1146" t="s">
        <v>116</v>
      </c>
      <c r="N1146">
        <v>8</v>
      </c>
      <c r="O1146" t="s">
        <v>117</v>
      </c>
      <c r="P1146" s="11">
        <v>5500</v>
      </c>
      <c r="Q1146" t="s">
        <v>1593</v>
      </c>
      <c r="R1146" s="11">
        <f t="shared" si="34"/>
        <v>0</v>
      </c>
      <c r="S1146" t="str">
        <f t="shared" si="35"/>
        <v>One-Time</v>
      </c>
    </row>
    <row r="1147" spans="1:19" ht="15" customHeight="1" x14ac:dyDescent="0.3">
      <c r="A1147">
        <v>1146</v>
      </c>
      <c r="B1147" t="s">
        <v>1594</v>
      </c>
      <c r="C1147">
        <v>5036499</v>
      </c>
      <c r="D1147" t="s">
        <v>392</v>
      </c>
      <c r="E1147">
        <v>58</v>
      </c>
      <c r="F1147" t="s">
        <v>77</v>
      </c>
      <c r="G1147" s="10">
        <v>45435</v>
      </c>
      <c r="H1147" t="s">
        <v>41</v>
      </c>
      <c r="I1147" t="s">
        <v>82</v>
      </c>
      <c r="J1147" t="s">
        <v>50</v>
      </c>
      <c r="K1147" t="s">
        <v>163</v>
      </c>
      <c r="L1147" t="s">
        <v>57</v>
      </c>
      <c r="M1147" t="s">
        <v>116</v>
      </c>
      <c r="N1147">
        <v>9</v>
      </c>
      <c r="O1147" t="s">
        <v>117</v>
      </c>
      <c r="P1147" s="11">
        <v>5500</v>
      </c>
      <c r="Q1147" t="s">
        <v>902</v>
      </c>
      <c r="R1147" s="11">
        <f t="shared" si="34"/>
        <v>5500</v>
      </c>
      <c r="S1147" t="str">
        <f t="shared" si="35"/>
        <v>One-Time</v>
      </c>
    </row>
    <row r="1148" spans="1:19" ht="15" customHeight="1" x14ac:dyDescent="0.3">
      <c r="A1148">
        <v>1147</v>
      </c>
      <c r="B1148" t="s">
        <v>1595</v>
      </c>
      <c r="C1148">
        <v>9923193</v>
      </c>
      <c r="D1148" t="s">
        <v>114</v>
      </c>
      <c r="E1148">
        <v>49</v>
      </c>
      <c r="F1148" t="s">
        <v>76</v>
      </c>
      <c r="G1148" s="10">
        <v>45436</v>
      </c>
      <c r="H1148" t="s">
        <v>41</v>
      </c>
      <c r="I1148" t="s">
        <v>82</v>
      </c>
      <c r="J1148" t="s">
        <v>50</v>
      </c>
      <c r="K1148" t="s">
        <v>163</v>
      </c>
      <c r="L1148" t="s">
        <v>57</v>
      </c>
      <c r="M1148" t="s">
        <v>116</v>
      </c>
      <c r="N1148">
        <v>7</v>
      </c>
      <c r="O1148" t="s">
        <v>117</v>
      </c>
      <c r="P1148" s="11">
        <v>6000</v>
      </c>
      <c r="Q1148" t="s">
        <v>70</v>
      </c>
      <c r="R1148" s="11">
        <f t="shared" si="34"/>
        <v>6000</v>
      </c>
      <c r="S1148" t="str">
        <f t="shared" si="35"/>
        <v>One-Time</v>
      </c>
    </row>
    <row r="1149" spans="1:19" ht="15" customHeight="1" x14ac:dyDescent="0.3">
      <c r="A1149">
        <v>1148</v>
      </c>
      <c r="B1149" t="s">
        <v>1596</v>
      </c>
      <c r="C1149">
        <v>8994624</v>
      </c>
      <c r="D1149" t="s">
        <v>114</v>
      </c>
      <c r="E1149">
        <v>56</v>
      </c>
      <c r="F1149" t="s">
        <v>77</v>
      </c>
      <c r="G1149" s="10">
        <v>45437</v>
      </c>
      <c r="H1149" t="s">
        <v>41</v>
      </c>
      <c r="I1149" t="s">
        <v>82</v>
      </c>
      <c r="J1149" t="s">
        <v>50</v>
      </c>
      <c r="K1149" t="s">
        <v>163</v>
      </c>
      <c r="L1149" t="s">
        <v>57</v>
      </c>
      <c r="M1149" t="s">
        <v>116</v>
      </c>
      <c r="N1149">
        <v>6</v>
      </c>
      <c r="O1149" t="s">
        <v>117</v>
      </c>
      <c r="P1149" s="11">
        <v>6000</v>
      </c>
      <c r="Q1149" t="s">
        <v>200</v>
      </c>
      <c r="R1149" s="11">
        <f t="shared" si="34"/>
        <v>6000</v>
      </c>
      <c r="S1149" t="str">
        <f t="shared" si="35"/>
        <v>One-Time</v>
      </c>
    </row>
    <row r="1150" spans="1:19" ht="15" customHeight="1" x14ac:dyDescent="0.3">
      <c r="A1150">
        <v>1149</v>
      </c>
      <c r="B1150" t="s">
        <v>1597</v>
      </c>
      <c r="C1150">
        <v>1943998</v>
      </c>
      <c r="D1150" t="s">
        <v>114</v>
      </c>
      <c r="E1150">
        <v>33</v>
      </c>
      <c r="F1150" t="s">
        <v>76</v>
      </c>
      <c r="G1150" s="10">
        <v>45438</v>
      </c>
      <c r="H1150" t="s">
        <v>41</v>
      </c>
      <c r="I1150" t="s">
        <v>82</v>
      </c>
      <c r="J1150" t="s">
        <v>50</v>
      </c>
      <c r="K1150" t="s">
        <v>163</v>
      </c>
      <c r="L1150" t="s">
        <v>57</v>
      </c>
      <c r="M1150" t="s">
        <v>116</v>
      </c>
      <c r="N1150">
        <v>2</v>
      </c>
      <c r="O1150" t="s">
        <v>117</v>
      </c>
      <c r="P1150" s="11">
        <v>6000</v>
      </c>
      <c r="Q1150" t="s">
        <v>66</v>
      </c>
      <c r="R1150" s="11">
        <f t="shared" si="34"/>
        <v>6000</v>
      </c>
      <c r="S1150" t="str">
        <f t="shared" si="35"/>
        <v>One-Time</v>
      </c>
    </row>
    <row r="1151" spans="1:19" ht="15" customHeight="1" x14ac:dyDescent="0.3">
      <c r="A1151">
        <v>1150</v>
      </c>
      <c r="B1151" t="s">
        <v>1598</v>
      </c>
      <c r="C1151">
        <v>4121086</v>
      </c>
      <c r="D1151" t="s">
        <v>392</v>
      </c>
      <c r="E1151">
        <v>26</v>
      </c>
      <c r="F1151" t="s">
        <v>75</v>
      </c>
      <c r="G1151" s="10">
        <v>45439</v>
      </c>
      <c r="H1151" t="s">
        <v>41</v>
      </c>
      <c r="I1151" t="s">
        <v>82</v>
      </c>
      <c r="J1151" t="s">
        <v>50</v>
      </c>
      <c r="K1151" t="s">
        <v>163</v>
      </c>
      <c r="L1151" t="s">
        <v>57</v>
      </c>
      <c r="M1151" t="s">
        <v>116</v>
      </c>
      <c r="N1151">
        <v>8</v>
      </c>
      <c r="O1151" t="s">
        <v>117</v>
      </c>
      <c r="P1151" s="11">
        <v>6000</v>
      </c>
      <c r="Q1151" t="s">
        <v>68</v>
      </c>
      <c r="R1151" s="11">
        <f t="shared" si="34"/>
        <v>6000</v>
      </c>
      <c r="S1151" t="str">
        <f t="shared" si="35"/>
        <v>One-Time</v>
      </c>
    </row>
    <row r="1152" spans="1:19" ht="15" customHeight="1" x14ac:dyDescent="0.3">
      <c r="A1152">
        <v>1151</v>
      </c>
      <c r="B1152" t="s">
        <v>1599</v>
      </c>
      <c r="C1152">
        <v>7921257</v>
      </c>
      <c r="D1152" t="s">
        <v>392</v>
      </c>
      <c r="E1152">
        <v>20</v>
      </c>
      <c r="F1152" t="s">
        <v>75</v>
      </c>
      <c r="G1152" s="10">
        <v>45440</v>
      </c>
      <c r="H1152" t="s">
        <v>41</v>
      </c>
      <c r="I1152" t="s">
        <v>82</v>
      </c>
      <c r="J1152" t="s">
        <v>50</v>
      </c>
      <c r="K1152" t="s">
        <v>163</v>
      </c>
      <c r="L1152" t="s">
        <v>57</v>
      </c>
      <c r="M1152" t="s">
        <v>116</v>
      </c>
      <c r="N1152">
        <v>4</v>
      </c>
      <c r="O1152" t="s">
        <v>117</v>
      </c>
      <c r="P1152" s="11">
        <v>6000</v>
      </c>
      <c r="Q1152" t="s">
        <v>66</v>
      </c>
      <c r="R1152" s="11">
        <f t="shared" si="34"/>
        <v>6000</v>
      </c>
      <c r="S1152" t="str">
        <f t="shared" si="35"/>
        <v>One-Time</v>
      </c>
    </row>
    <row r="1153" spans="1:19" ht="15" customHeight="1" x14ac:dyDescent="0.3">
      <c r="A1153">
        <v>1152</v>
      </c>
      <c r="B1153" t="s">
        <v>1600</v>
      </c>
      <c r="C1153">
        <v>5616318</v>
      </c>
      <c r="D1153" t="s">
        <v>114</v>
      </c>
      <c r="E1153">
        <v>63</v>
      </c>
      <c r="F1153" t="s">
        <v>77</v>
      </c>
      <c r="G1153" s="10">
        <v>45441</v>
      </c>
      <c r="H1153" t="s">
        <v>41</v>
      </c>
      <c r="I1153" t="s">
        <v>82</v>
      </c>
      <c r="J1153" t="s">
        <v>50</v>
      </c>
      <c r="K1153" t="s">
        <v>168</v>
      </c>
      <c r="L1153" t="s">
        <v>57</v>
      </c>
      <c r="M1153" t="s">
        <v>116</v>
      </c>
      <c r="N1153">
        <v>6</v>
      </c>
      <c r="O1153" t="s">
        <v>117</v>
      </c>
      <c r="P1153" s="11">
        <v>6000</v>
      </c>
      <c r="Q1153" t="s">
        <v>200</v>
      </c>
      <c r="R1153" s="11">
        <f t="shared" si="34"/>
        <v>6000</v>
      </c>
      <c r="S1153" t="str">
        <f t="shared" si="35"/>
        <v>One-Time</v>
      </c>
    </row>
    <row r="1154" spans="1:19" ht="15" customHeight="1" x14ac:dyDescent="0.3">
      <c r="A1154">
        <v>1153</v>
      </c>
      <c r="B1154" t="s">
        <v>1601</v>
      </c>
      <c r="C1154">
        <v>9642932</v>
      </c>
      <c r="D1154" t="s">
        <v>392</v>
      </c>
      <c r="E1154">
        <v>28</v>
      </c>
      <c r="F1154" t="s">
        <v>75</v>
      </c>
      <c r="G1154" s="10">
        <v>45442</v>
      </c>
      <c r="H1154" t="s">
        <v>41</v>
      </c>
      <c r="I1154" t="s">
        <v>82</v>
      </c>
      <c r="J1154" t="s">
        <v>50</v>
      </c>
      <c r="K1154" t="s">
        <v>168</v>
      </c>
      <c r="L1154" t="s">
        <v>57</v>
      </c>
      <c r="M1154" t="s">
        <v>116</v>
      </c>
      <c r="N1154">
        <v>5</v>
      </c>
      <c r="O1154" t="s">
        <v>117</v>
      </c>
      <c r="P1154" s="11">
        <v>6000</v>
      </c>
      <c r="Q1154" t="s">
        <v>390</v>
      </c>
      <c r="R1154" s="11">
        <f t="shared" ref="R1154:R1217" si="36">IF(I1154="Delivered",P1154,0)</f>
        <v>6000</v>
      </c>
      <c r="S1154" t="str">
        <f t="shared" ref="S1154:S1217" si="37">IF(COUNTIF($C$2:$C$1501,C1154)&gt;1,"Repeat","One-Time")</f>
        <v>One-Time</v>
      </c>
    </row>
    <row r="1155" spans="1:19" ht="15" customHeight="1" x14ac:dyDescent="0.3">
      <c r="A1155">
        <v>1154</v>
      </c>
      <c r="B1155" t="s">
        <v>1602</v>
      </c>
      <c r="C1155">
        <v>5276879</v>
      </c>
      <c r="D1155" t="s">
        <v>392</v>
      </c>
      <c r="E1155">
        <v>39</v>
      </c>
      <c r="F1155" t="s">
        <v>76</v>
      </c>
      <c r="G1155" s="10">
        <v>45443</v>
      </c>
      <c r="H1155" t="s">
        <v>41</v>
      </c>
      <c r="I1155" t="s">
        <v>84</v>
      </c>
      <c r="J1155" t="s">
        <v>50</v>
      </c>
      <c r="K1155" t="s">
        <v>168</v>
      </c>
      <c r="L1155" t="s">
        <v>57</v>
      </c>
      <c r="M1155" t="s">
        <v>116</v>
      </c>
      <c r="N1155">
        <v>23</v>
      </c>
      <c r="O1155" t="s">
        <v>117</v>
      </c>
      <c r="P1155" s="11">
        <v>6000</v>
      </c>
      <c r="Q1155" t="s">
        <v>62</v>
      </c>
      <c r="R1155" s="11">
        <f t="shared" si="36"/>
        <v>0</v>
      </c>
      <c r="S1155" t="str">
        <f t="shared" si="37"/>
        <v>One-Time</v>
      </c>
    </row>
    <row r="1156" spans="1:19" ht="15" customHeight="1" x14ac:dyDescent="0.3">
      <c r="A1156">
        <v>1155</v>
      </c>
      <c r="B1156" t="s">
        <v>1603</v>
      </c>
      <c r="C1156">
        <v>1075951</v>
      </c>
      <c r="D1156" t="s">
        <v>114</v>
      </c>
      <c r="E1156">
        <v>67</v>
      </c>
      <c r="F1156" t="s">
        <v>77</v>
      </c>
      <c r="G1156" s="10">
        <v>45444</v>
      </c>
      <c r="H1156" t="s">
        <v>42</v>
      </c>
      <c r="I1156" t="s">
        <v>82</v>
      </c>
      <c r="J1156" t="s">
        <v>50</v>
      </c>
      <c r="K1156" t="s">
        <v>168</v>
      </c>
      <c r="L1156" t="s">
        <v>57</v>
      </c>
      <c r="M1156" t="s">
        <v>116</v>
      </c>
      <c r="N1156">
        <v>2</v>
      </c>
      <c r="O1156" t="s">
        <v>117</v>
      </c>
      <c r="P1156" s="11">
        <v>6000</v>
      </c>
      <c r="Q1156" t="s">
        <v>1604</v>
      </c>
      <c r="R1156" s="11">
        <f t="shared" si="36"/>
        <v>6000</v>
      </c>
      <c r="S1156" t="str">
        <f t="shared" si="37"/>
        <v>One-Time</v>
      </c>
    </row>
    <row r="1157" spans="1:19" ht="15" customHeight="1" x14ac:dyDescent="0.3">
      <c r="A1157">
        <v>1156</v>
      </c>
      <c r="B1157" t="s">
        <v>1605</v>
      </c>
      <c r="C1157">
        <v>1392839</v>
      </c>
      <c r="D1157" t="s">
        <v>392</v>
      </c>
      <c r="E1157">
        <v>30</v>
      </c>
      <c r="F1157" t="s">
        <v>76</v>
      </c>
      <c r="G1157" s="10">
        <v>45445</v>
      </c>
      <c r="H1157" t="s">
        <v>42</v>
      </c>
      <c r="I1157" t="s">
        <v>84</v>
      </c>
      <c r="J1157" t="s">
        <v>50</v>
      </c>
      <c r="K1157" t="s">
        <v>168</v>
      </c>
      <c r="L1157" t="s">
        <v>57</v>
      </c>
      <c r="M1157" t="s">
        <v>116</v>
      </c>
      <c r="N1157">
        <v>5</v>
      </c>
      <c r="O1157" t="s">
        <v>117</v>
      </c>
      <c r="P1157" s="11">
        <v>6000</v>
      </c>
      <c r="Q1157" t="s">
        <v>265</v>
      </c>
      <c r="R1157" s="11">
        <f t="shared" si="36"/>
        <v>0</v>
      </c>
      <c r="S1157" t="str">
        <f t="shared" si="37"/>
        <v>One-Time</v>
      </c>
    </row>
    <row r="1158" spans="1:19" ht="15" customHeight="1" x14ac:dyDescent="0.3">
      <c r="A1158">
        <v>1157</v>
      </c>
      <c r="B1158" t="s">
        <v>1606</v>
      </c>
      <c r="C1158">
        <v>892155</v>
      </c>
      <c r="D1158" t="s">
        <v>392</v>
      </c>
      <c r="E1158">
        <v>24</v>
      </c>
      <c r="F1158" t="s">
        <v>75</v>
      </c>
      <c r="G1158" s="10">
        <v>45446</v>
      </c>
      <c r="H1158" t="s">
        <v>42</v>
      </c>
      <c r="I1158" t="s">
        <v>84</v>
      </c>
      <c r="J1158" t="s">
        <v>50</v>
      </c>
      <c r="K1158" t="s">
        <v>168</v>
      </c>
      <c r="L1158" t="s">
        <v>57</v>
      </c>
      <c r="M1158" t="s">
        <v>116</v>
      </c>
      <c r="N1158">
        <v>9</v>
      </c>
      <c r="O1158" t="s">
        <v>117</v>
      </c>
      <c r="P1158" s="11">
        <v>6000</v>
      </c>
      <c r="Q1158" t="s">
        <v>1607</v>
      </c>
      <c r="R1158" s="11">
        <f t="shared" si="36"/>
        <v>0</v>
      </c>
      <c r="S1158" t="str">
        <f t="shared" si="37"/>
        <v>One-Time</v>
      </c>
    </row>
    <row r="1159" spans="1:19" ht="15" customHeight="1" x14ac:dyDescent="0.3">
      <c r="A1159">
        <v>1158</v>
      </c>
      <c r="B1159" t="s">
        <v>1608</v>
      </c>
      <c r="C1159">
        <v>6036845</v>
      </c>
      <c r="D1159" t="s">
        <v>114</v>
      </c>
      <c r="E1159">
        <v>19</v>
      </c>
      <c r="F1159" t="s">
        <v>75</v>
      </c>
      <c r="G1159" s="10">
        <v>45447</v>
      </c>
      <c r="H1159" t="s">
        <v>42</v>
      </c>
      <c r="I1159" t="s">
        <v>84</v>
      </c>
      <c r="J1159" t="s">
        <v>50</v>
      </c>
      <c r="K1159" t="s">
        <v>168</v>
      </c>
      <c r="L1159" t="s">
        <v>57</v>
      </c>
      <c r="M1159" t="s">
        <v>116</v>
      </c>
      <c r="N1159">
        <v>27</v>
      </c>
      <c r="O1159" t="s">
        <v>117</v>
      </c>
      <c r="P1159" s="11">
        <v>6000</v>
      </c>
      <c r="Q1159" t="s">
        <v>1609</v>
      </c>
      <c r="R1159" s="11">
        <f t="shared" si="36"/>
        <v>0</v>
      </c>
      <c r="S1159" t="str">
        <f t="shared" si="37"/>
        <v>One-Time</v>
      </c>
    </row>
    <row r="1160" spans="1:19" ht="15" customHeight="1" x14ac:dyDescent="0.3">
      <c r="A1160">
        <v>1159</v>
      </c>
      <c r="B1160" t="s">
        <v>1610</v>
      </c>
      <c r="C1160">
        <v>2877315</v>
      </c>
      <c r="D1160" t="s">
        <v>114</v>
      </c>
      <c r="E1160">
        <v>45</v>
      </c>
      <c r="F1160" t="s">
        <v>76</v>
      </c>
      <c r="G1160" s="10">
        <v>45448</v>
      </c>
      <c r="H1160" t="s">
        <v>42</v>
      </c>
      <c r="I1160" t="s">
        <v>82</v>
      </c>
      <c r="J1160" t="s">
        <v>50</v>
      </c>
      <c r="K1160" t="s">
        <v>168</v>
      </c>
      <c r="L1160" t="s">
        <v>57</v>
      </c>
      <c r="M1160" t="s">
        <v>116</v>
      </c>
      <c r="N1160">
        <v>6</v>
      </c>
      <c r="O1160" t="s">
        <v>117</v>
      </c>
      <c r="P1160" s="11">
        <v>6000</v>
      </c>
      <c r="Q1160" t="s">
        <v>64</v>
      </c>
      <c r="R1160" s="11">
        <f t="shared" si="36"/>
        <v>6000</v>
      </c>
      <c r="S1160" t="str">
        <f t="shared" si="37"/>
        <v>One-Time</v>
      </c>
    </row>
    <row r="1161" spans="1:19" ht="15" customHeight="1" x14ac:dyDescent="0.3">
      <c r="A1161">
        <v>1160</v>
      </c>
      <c r="B1161" t="s">
        <v>1611</v>
      </c>
      <c r="C1161">
        <v>6460858</v>
      </c>
      <c r="D1161" t="s">
        <v>114</v>
      </c>
      <c r="E1161">
        <v>25</v>
      </c>
      <c r="F1161" t="s">
        <v>75</v>
      </c>
      <c r="G1161" s="10">
        <v>45449</v>
      </c>
      <c r="H1161" t="s">
        <v>42</v>
      </c>
      <c r="I1161" t="s">
        <v>82</v>
      </c>
      <c r="J1161" t="s">
        <v>50</v>
      </c>
      <c r="K1161" t="s">
        <v>168</v>
      </c>
      <c r="L1161" t="s">
        <v>57</v>
      </c>
      <c r="M1161" t="s">
        <v>116</v>
      </c>
      <c r="N1161">
        <v>6</v>
      </c>
      <c r="O1161" t="s">
        <v>117</v>
      </c>
      <c r="P1161" s="11">
        <v>6000</v>
      </c>
      <c r="Q1161" t="s">
        <v>145</v>
      </c>
      <c r="R1161" s="11">
        <f t="shared" si="36"/>
        <v>6000</v>
      </c>
      <c r="S1161" t="str">
        <f t="shared" si="37"/>
        <v>Repeat</v>
      </c>
    </row>
    <row r="1162" spans="1:19" ht="15" customHeight="1" x14ac:dyDescent="0.3">
      <c r="A1162">
        <v>1161</v>
      </c>
      <c r="B1162" t="s">
        <v>1611</v>
      </c>
      <c r="C1162">
        <v>6460858</v>
      </c>
      <c r="D1162" t="s">
        <v>114</v>
      </c>
      <c r="E1162">
        <v>32</v>
      </c>
      <c r="F1162" t="s">
        <v>76</v>
      </c>
      <c r="G1162" s="10">
        <v>45450</v>
      </c>
      <c r="H1162" t="s">
        <v>42</v>
      </c>
      <c r="I1162" t="s">
        <v>82</v>
      </c>
      <c r="J1162" t="s">
        <v>50</v>
      </c>
      <c r="K1162" t="s">
        <v>168</v>
      </c>
      <c r="L1162" t="s">
        <v>57</v>
      </c>
      <c r="M1162" t="s">
        <v>116</v>
      </c>
      <c r="N1162">
        <v>2</v>
      </c>
      <c r="O1162" t="s">
        <v>117</v>
      </c>
      <c r="P1162" s="11">
        <v>6000</v>
      </c>
      <c r="Q1162" t="s">
        <v>371</v>
      </c>
      <c r="R1162" s="11">
        <f t="shared" si="36"/>
        <v>6000</v>
      </c>
      <c r="S1162" t="str">
        <f t="shared" si="37"/>
        <v>Repeat</v>
      </c>
    </row>
    <row r="1163" spans="1:19" ht="15" customHeight="1" x14ac:dyDescent="0.3">
      <c r="A1163">
        <v>1162</v>
      </c>
      <c r="B1163" t="s">
        <v>1612</v>
      </c>
      <c r="C1163">
        <v>1944603</v>
      </c>
      <c r="D1163" t="s">
        <v>114</v>
      </c>
      <c r="E1163">
        <v>42</v>
      </c>
      <c r="F1163" t="s">
        <v>76</v>
      </c>
      <c r="G1163" s="10">
        <v>45451</v>
      </c>
      <c r="H1163" t="s">
        <v>42</v>
      </c>
      <c r="I1163" t="s">
        <v>82</v>
      </c>
      <c r="J1163" t="s">
        <v>50</v>
      </c>
      <c r="K1163" t="s">
        <v>168</v>
      </c>
      <c r="L1163" t="s">
        <v>57</v>
      </c>
      <c r="M1163" t="s">
        <v>116</v>
      </c>
      <c r="N1163">
        <v>32</v>
      </c>
      <c r="O1163" t="s">
        <v>117</v>
      </c>
      <c r="P1163" s="11">
        <v>5900</v>
      </c>
      <c r="Q1163" t="s">
        <v>1613</v>
      </c>
      <c r="R1163" s="11">
        <f t="shared" si="36"/>
        <v>5900</v>
      </c>
      <c r="S1163" t="str">
        <f t="shared" si="37"/>
        <v>One-Time</v>
      </c>
    </row>
    <row r="1164" spans="1:19" ht="15" customHeight="1" x14ac:dyDescent="0.3">
      <c r="A1164">
        <v>1163</v>
      </c>
      <c r="B1164" t="s">
        <v>1614</v>
      </c>
      <c r="C1164">
        <v>250238</v>
      </c>
      <c r="D1164" t="s">
        <v>114</v>
      </c>
      <c r="E1164">
        <v>27</v>
      </c>
      <c r="F1164" t="s">
        <v>75</v>
      </c>
      <c r="G1164" s="10">
        <v>45452</v>
      </c>
      <c r="H1164" t="s">
        <v>42</v>
      </c>
      <c r="I1164" t="s">
        <v>82</v>
      </c>
      <c r="J1164" t="s">
        <v>50</v>
      </c>
      <c r="K1164" t="s">
        <v>168</v>
      </c>
      <c r="L1164" t="s">
        <v>57</v>
      </c>
      <c r="M1164" t="s">
        <v>122</v>
      </c>
      <c r="N1164">
        <v>3</v>
      </c>
      <c r="O1164" t="s">
        <v>117</v>
      </c>
      <c r="P1164" s="11">
        <v>5900</v>
      </c>
      <c r="Q1164" t="s">
        <v>65</v>
      </c>
      <c r="R1164" s="11">
        <f t="shared" si="36"/>
        <v>5900</v>
      </c>
      <c r="S1164" t="str">
        <f t="shared" si="37"/>
        <v>One-Time</v>
      </c>
    </row>
    <row r="1165" spans="1:19" ht="15" customHeight="1" x14ac:dyDescent="0.3">
      <c r="A1165">
        <v>1164</v>
      </c>
      <c r="B1165" t="s">
        <v>1615</v>
      </c>
      <c r="C1165">
        <v>9499050</v>
      </c>
      <c r="D1165" t="s">
        <v>114</v>
      </c>
      <c r="E1165">
        <v>56</v>
      </c>
      <c r="F1165" t="s">
        <v>77</v>
      </c>
      <c r="G1165" s="10">
        <v>45453</v>
      </c>
      <c r="H1165" t="s">
        <v>42</v>
      </c>
      <c r="I1165" t="s">
        <v>82</v>
      </c>
      <c r="J1165" t="s">
        <v>50</v>
      </c>
      <c r="K1165" t="s">
        <v>168</v>
      </c>
      <c r="L1165" t="s">
        <v>57</v>
      </c>
      <c r="M1165" t="s">
        <v>122</v>
      </c>
      <c r="N1165">
        <v>48</v>
      </c>
      <c r="O1165" t="s">
        <v>117</v>
      </c>
      <c r="P1165" s="11">
        <v>5900</v>
      </c>
      <c r="Q1165" t="s">
        <v>118</v>
      </c>
      <c r="R1165" s="11">
        <f t="shared" si="36"/>
        <v>5900</v>
      </c>
      <c r="S1165" t="str">
        <f t="shared" si="37"/>
        <v>One-Time</v>
      </c>
    </row>
    <row r="1166" spans="1:19" ht="15" customHeight="1" x14ac:dyDescent="0.3">
      <c r="A1166">
        <v>1165</v>
      </c>
      <c r="B1166" t="s">
        <v>1616</v>
      </c>
      <c r="C1166">
        <v>222189</v>
      </c>
      <c r="D1166" t="s">
        <v>114</v>
      </c>
      <c r="E1166">
        <v>47</v>
      </c>
      <c r="F1166" t="s">
        <v>76</v>
      </c>
      <c r="G1166" s="10">
        <v>45454</v>
      </c>
      <c r="H1166" t="s">
        <v>42</v>
      </c>
      <c r="I1166" t="s">
        <v>82</v>
      </c>
      <c r="J1166" t="s">
        <v>50</v>
      </c>
      <c r="K1166" t="s">
        <v>173</v>
      </c>
      <c r="L1166" t="s">
        <v>57</v>
      </c>
      <c r="M1166" t="s">
        <v>122</v>
      </c>
      <c r="N1166">
        <v>5</v>
      </c>
      <c r="O1166" t="s">
        <v>117</v>
      </c>
      <c r="P1166" s="11">
        <v>5900</v>
      </c>
      <c r="Q1166" t="s">
        <v>118</v>
      </c>
      <c r="R1166" s="11">
        <f t="shared" si="36"/>
        <v>5900</v>
      </c>
      <c r="S1166" t="str">
        <f t="shared" si="37"/>
        <v>One-Time</v>
      </c>
    </row>
    <row r="1167" spans="1:19" ht="15" customHeight="1" x14ac:dyDescent="0.3">
      <c r="A1167">
        <v>1166</v>
      </c>
      <c r="B1167" t="s">
        <v>1617</v>
      </c>
      <c r="C1167">
        <v>5663565</v>
      </c>
      <c r="D1167" t="s">
        <v>114</v>
      </c>
      <c r="E1167">
        <v>41</v>
      </c>
      <c r="F1167" t="s">
        <v>76</v>
      </c>
      <c r="G1167" s="10">
        <v>45455</v>
      </c>
      <c r="H1167" t="s">
        <v>42</v>
      </c>
      <c r="I1167" t="s">
        <v>82</v>
      </c>
      <c r="J1167" t="s">
        <v>50</v>
      </c>
      <c r="K1167" t="s">
        <v>125</v>
      </c>
      <c r="L1167" t="s">
        <v>57</v>
      </c>
      <c r="M1167" t="s">
        <v>122</v>
      </c>
      <c r="N1167">
        <v>2</v>
      </c>
      <c r="O1167" t="s">
        <v>117</v>
      </c>
      <c r="P1167" s="11">
        <v>5900</v>
      </c>
      <c r="Q1167" t="s">
        <v>62</v>
      </c>
      <c r="R1167" s="11">
        <f t="shared" si="36"/>
        <v>5900</v>
      </c>
      <c r="S1167" t="str">
        <f t="shared" si="37"/>
        <v>One-Time</v>
      </c>
    </row>
    <row r="1168" spans="1:19" ht="15" customHeight="1" x14ac:dyDescent="0.3">
      <c r="A1168">
        <v>1167</v>
      </c>
      <c r="B1168" t="s">
        <v>1618</v>
      </c>
      <c r="C1168">
        <v>1606875</v>
      </c>
      <c r="D1168" t="s">
        <v>114</v>
      </c>
      <c r="E1168">
        <v>18</v>
      </c>
      <c r="F1168" t="s">
        <v>75</v>
      </c>
      <c r="G1168" s="10">
        <v>45456</v>
      </c>
      <c r="H1168" t="s">
        <v>42</v>
      </c>
      <c r="I1168" t="s">
        <v>82</v>
      </c>
      <c r="J1168" t="s">
        <v>50</v>
      </c>
      <c r="K1168" t="s">
        <v>125</v>
      </c>
      <c r="L1168" t="s">
        <v>57</v>
      </c>
      <c r="M1168" t="s">
        <v>122</v>
      </c>
      <c r="N1168">
        <v>9</v>
      </c>
      <c r="O1168" t="s">
        <v>117</v>
      </c>
      <c r="P1168" s="11">
        <v>5900</v>
      </c>
      <c r="Q1168" t="s">
        <v>63</v>
      </c>
      <c r="R1168" s="11">
        <f t="shared" si="36"/>
        <v>5900</v>
      </c>
      <c r="S1168" t="str">
        <f t="shared" si="37"/>
        <v>One-Time</v>
      </c>
    </row>
    <row r="1169" spans="1:19" ht="15" customHeight="1" x14ac:dyDescent="0.3">
      <c r="A1169">
        <v>1168</v>
      </c>
      <c r="B1169" t="s">
        <v>1619</v>
      </c>
      <c r="C1169">
        <v>1299137</v>
      </c>
      <c r="D1169" t="s">
        <v>114</v>
      </c>
      <c r="E1169">
        <v>33</v>
      </c>
      <c r="F1169" t="s">
        <v>76</v>
      </c>
      <c r="G1169" s="10">
        <v>45457</v>
      </c>
      <c r="H1169" t="s">
        <v>42</v>
      </c>
      <c r="I1169" t="s">
        <v>82</v>
      </c>
      <c r="J1169" t="s">
        <v>50</v>
      </c>
      <c r="K1169" t="s">
        <v>125</v>
      </c>
      <c r="L1169" t="s">
        <v>57</v>
      </c>
      <c r="M1169" t="s">
        <v>122</v>
      </c>
      <c r="N1169">
        <v>7</v>
      </c>
      <c r="O1169" t="s">
        <v>117</v>
      </c>
      <c r="P1169" s="11">
        <v>5900</v>
      </c>
      <c r="Q1169" t="s">
        <v>1620</v>
      </c>
      <c r="R1169" s="11">
        <f t="shared" si="36"/>
        <v>5900</v>
      </c>
      <c r="S1169" t="str">
        <f t="shared" si="37"/>
        <v>One-Time</v>
      </c>
    </row>
    <row r="1170" spans="1:19" ht="15" customHeight="1" x14ac:dyDescent="0.3">
      <c r="A1170">
        <v>1169</v>
      </c>
      <c r="B1170" t="s">
        <v>1621</v>
      </c>
      <c r="C1170">
        <v>426424</v>
      </c>
      <c r="D1170" t="s">
        <v>114</v>
      </c>
      <c r="E1170">
        <v>20</v>
      </c>
      <c r="F1170" t="s">
        <v>75</v>
      </c>
      <c r="G1170" s="10">
        <v>45458</v>
      </c>
      <c r="H1170" t="s">
        <v>42</v>
      </c>
      <c r="I1170" t="s">
        <v>82</v>
      </c>
      <c r="J1170" t="s">
        <v>50</v>
      </c>
      <c r="K1170" t="s">
        <v>125</v>
      </c>
      <c r="L1170" t="s">
        <v>57</v>
      </c>
      <c r="M1170" t="s">
        <v>122</v>
      </c>
      <c r="N1170">
        <v>2</v>
      </c>
      <c r="O1170" t="s">
        <v>117</v>
      </c>
      <c r="P1170" s="11">
        <v>5900</v>
      </c>
      <c r="Q1170" t="s">
        <v>1622</v>
      </c>
      <c r="R1170" s="11">
        <f t="shared" si="36"/>
        <v>5900</v>
      </c>
      <c r="S1170" t="str">
        <f t="shared" si="37"/>
        <v>One-Time</v>
      </c>
    </row>
    <row r="1171" spans="1:19" ht="15" customHeight="1" x14ac:dyDescent="0.3">
      <c r="A1171">
        <v>1170</v>
      </c>
      <c r="B1171" t="s">
        <v>1623</v>
      </c>
      <c r="C1171">
        <v>5696671</v>
      </c>
      <c r="D1171" t="s">
        <v>114</v>
      </c>
      <c r="E1171">
        <v>42</v>
      </c>
      <c r="F1171" t="s">
        <v>76</v>
      </c>
      <c r="G1171" s="10">
        <v>45459</v>
      </c>
      <c r="H1171" t="s">
        <v>42</v>
      </c>
      <c r="I1171" t="s">
        <v>84</v>
      </c>
      <c r="J1171" t="s">
        <v>50</v>
      </c>
      <c r="K1171" t="s">
        <v>125</v>
      </c>
      <c r="L1171" t="s">
        <v>57</v>
      </c>
      <c r="M1171" t="s">
        <v>122</v>
      </c>
      <c r="N1171">
        <v>8</v>
      </c>
      <c r="O1171" t="s">
        <v>117</v>
      </c>
      <c r="P1171" s="11">
        <v>5900</v>
      </c>
      <c r="Q1171" t="s">
        <v>1465</v>
      </c>
      <c r="R1171" s="11">
        <f t="shared" si="36"/>
        <v>0</v>
      </c>
      <c r="S1171" t="str">
        <f t="shared" si="37"/>
        <v>One-Time</v>
      </c>
    </row>
    <row r="1172" spans="1:19" ht="15" customHeight="1" x14ac:dyDescent="0.3">
      <c r="A1172">
        <v>1171</v>
      </c>
      <c r="B1172" t="s">
        <v>1624</v>
      </c>
      <c r="C1172">
        <v>9603913</v>
      </c>
      <c r="D1172" t="s">
        <v>114</v>
      </c>
      <c r="E1172">
        <v>18</v>
      </c>
      <c r="F1172" t="s">
        <v>75</v>
      </c>
      <c r="G1172" s="10">
        <v>45460</v>
      </c>
      <c r="H1172" t="s">
        <v>42</v>
      </c>
      <c r="I1172" t="s">
        <v>84</v>
      </c>
      <c r="J1172" t="s">
        <v>50</v>
      </c>
      <c r="K1172" t="s">
        <v>125</v>
      </c>
      <c r="L1172" t="s">
        <v>57</v>
      </c>
      <c r="M1172" t="s">
        <v>122</v>
      </c>
      <c r="N1172">
        <v>4</v>
      </c>
      <c r="O1172" t="s">
        <v>117</v>
      </c>
      <c r="P1172" s="11">
        <v>5900</v>
      </c>
      <c r="Q1172" t="s">
        <v>62</v>
      </c>
      <c r="R1172" s="11">
        <f t="shared" si="36"/>
        <v>0</v>
      </c>
      <c r="S1172" t="str">
        <f t="shared" si="37"/>
        <v>One-Time</v>
      </c>
    </row>
    <row r="1173" spans="1:19" ht="15" customHeight="1" x14ac:dyDescent="0.3">
      <c r="A1173">
        <v>1172</v>
      </c>
      <c r="B1173" t="s">
        <v>1625</v>
      </c>
      <c r="C1173">
        <v>8089566</v>
      </c>
      <c r="D1173" t="s">
        <v>114</v>
      </c>
      <c r="E1173">
        <v>21</v>
      </c>
      <c r="F1173" t="s">
        <v>75</v>
      </c>
      <c r="G1173" s="10">
        <v>45461</v>
      </c>
      <c r="H1173" t="s">
        <v>42</v>
      </c>
      <c r="I1173" t="s">
        <v>84</v>
      </c>
      <c r="J1173" t="s">
        <v>50</v>
      </c>
      <c r="K1173" t="s">
        <v>125</v>
      </c>
      <c r="L1173" t="s">
        <v>57</v>
      </c>
      <c r="M1173" t="s">
        <v>122</v>
      </c>
      <c r="N1173">
        <v>5</v>
      </c>
      <c r="O1173" t="s">
        <v>117</v>
      </c>
      <c r="P1173" s="11">
        <v>5900</v>
      </c>
      <c r="Q1173" t="s">
        <v>67</v>
      </c>
      <c r="R1173" s="11">
        <f t="shared" si="36"/>
        <v>0</v>
      </c>
      <c r="S1173" t="str">
        <f t="shared" si="37"/>
        <v>One-Time</v>
      </c>
    </row>
    <row r="1174" spans="1:19" ht="15" customHeight="1" x14ac:dyDescent="0.3">
      <c r="A1174">
        <v>1173</v>
      </c>
      <c r="B1174" t="s">
        <v>1626</v>
      </c>
      <c r="C1174">
        <v>2717249</v>
      </c>
      <c r="D1174" t="s">
        <v>114</v>
      </c>
      <c r="E1174">
        <v>22</v>
      </c>
      <c r="F1174" t="s">
        <v>75</v>
      </c>
      <c r="G1174" s="10">
        <v>45462</v>
      </c>
      <c r="H1174" t="s">
        <v>42</v>
      </c>
      <c r="I1174" t="s">
        <v>82</v>
      </c>
      <c r="J1174" t="s">
        <v>50</v>
      </c>
      <c r="K1174" t="s">
        <v>125</v>
      </c>
      <c r="L1174" t="s">
        <v>57</v>
      </c>
      <c r="M1174" t="s">
        <v>122</v>
      </c>
      <c r="N1174">
        <v>6</v>
      </c>
      <c r="O1174" t="s">
        <v>117</v>
      </c>
      <c r="P1174" s="11">
        <v>5900</v>
      </c>
      <c r="Q1174" t="s">
        <v>1627</v>
      </c>
      <c r="R1174" s="11">
        <f t="shared" si="36"/>
        <v>5900</v>
      </c>
      <c r="S1174" t="str">
        <f t="shared" si="37"/>
        <v>One-Time</v>
      </c>
    </row>
    <row r="1175" spans="1:19" ht="15" customHeight="1" x14ac:dyDescent="0.3">
      <c r="A1175">
        <v>1174</v>
      </c>
      <c r="B1175" t="s">
        <v>1628</v>
      </c>
      <c r="C1175">
        <v>158981</v>
      </c>
      <c r="D1175" t="s">
        <v>114</v>
      </c>
      <c r="E1175">
        <v>29</v>
      </c>
      <c r="F1175" t="s">
        <v>75</v>
      </c>
      <c r="G1175" s="10">
        <v>45463</v>
      </c>
      <c r="H1175" t="s">
        <v>42</v>
      </c>
      <c r="I1175" t="s">
        <v>82</v>
      </c>
      <c r="J1175" t="s">
        <v>50</v>
      </c>
      <c r="K1175" t="s">
        <v>125</v>
      </c>
      <c r="L1175" t="s">
        <v>57</v>
      </c>
      <c r="M1175" t="s">
        <v>122</v>
      </c>
      <c r="N1175">
        <v>31</v>
      </c>
      <c r="O1175" t="s">
        <v>117</v>
      </c>
      <c r="P1175" s="11">
        <v>5900</v>
      </c>
      <c r="Q1175" t="s">
        <v>63</v>
      </c>
      <c r="R1175" s="11">
        <f t="shared" si="36"/>
        <v>5900</v>
      </c>
      <c r="S1175" t="str">
        <f t="shared" si="37"/>
        <v>One-Time</v>
      </c>
    </row>
    <row r="1176" spans="1:19" ht="15" customHeight="1" x14ac:dyDescent="0.3">
      <c r="A1176">
        <v>1175</v>
      </c>
      <c r="B1176" t="s">
        <v>1629</v>
      </c>
      <c r="C1176">
        <v>6141946</v>
      </c>
      <c r="D1176" t="s">
        <v>114</v>
      </c>
      <c r="E1176">
        <v>36</v>
      </c>
      <c r="F1176" t="s">
        <v>76</v>
      </c>
      <c r="G1176" s="10">
        <v>45464</v>
      </c>
      <c r="H1176" t="s">
        <v>42</v>
      </c>
      <c r="I1176" t="s">
        <v>82</v>
      </c>
      <c r="J1176" t="s">
        <v>50</v>
      </c>
      <c r="K1176" t="s">
        <v>125</v>
      </c>
      <c r="L1176" t="s">
        <v>57</v>
      </c>
      <c r="M1176" t="s">
        <v>122</v>
      </c>
      <c r="N1176">
        <v>2</v>
      </c>
      <c r="O1176" t="s">
        <v>117</v>
      </c>
      <c r="P1176" s="11">
        <v>5900</v>
      </c>
      <c r="Q1176" t="s">
        <v>64</v>
      </c>
      <c r="R1176" s="11">
        <f t="shared" si="36"/>
        <v>5900</v>
      </c>
      <c r="S1176" t="str">
        <f t="shared" si="37"/>
        <v>One-Time</v>
      </c>
    </row>
    <row r="1177" spans="1:19" ht="15" customHeight="1" x14ac:dyDescent="0.3">
      <c r="A1177">
        <v>1176</v>
      </c>
      <c r="B1177" t="s">
        <v>1630</v>
      </c>
      <c r="C1177">
        <v>3264468</v>
      </c>
      <c r="D1177" t="s">
        <v>114</v>
      </c>
      <c r="E1177">
        <v>36</v>
      </c>
      <c r="F1177" t="s">
        <v>76</v>
      </c>
      <c r="G1177" s="10">
        <v>45465</v>
      </c>
      <c r="H1177" t="s">
        <v>42</v>
      </c>
      <c r="I1177" t="s">
        <v>82</v>
      </c>
      <c r="J1177" t="s">
        <v>50</v>
      </c>
      <c r="K1177" t="s">
        <v>125</v>
      </c>
      <c r="L1177" t="s">
        <v>57</v>
      </c>
      <c r="M1177" t="s">
        <v>122</v>
      </c>
      <c r="N1177">
        <v>5</v>
      </c>
      <c r="O1177" t="s">
        <v>117</v>
      </c>
      <c r="P1177" s="11">
        <v>5900</v>
      </c>
      <c r="Q1177" t="s">
        <v>524</v>
      </c>
      <c r="R1177" s="11">
        <f t="shared" si="36"/>
        <v>5900</v>
      </c>
      <c r="S1177" t="str">
        <f t="shared" si="37"/>
        <v>One-Time</v>
      </c>
    </row>
    <row r="1178" spans="1:19" ht="15" customHeight="1" x14ac:dyDescent="0.3">
      <c r="A1178">
        <v>1177</v>
      </c>
      <c r="B1178" t="s">
        <v>1631</v>
      </c>
      <c r="C1178">
        <v>9977490</v>
      </c>
      <c r="D1178" t="s">
        <v>114</v>
      </c>
      <c r="E1178">
        <v>33</v>
      </c>
      <c r="F1178" t="s">
        <v>76</v>
      </c>
      <c r="G1178" s="10">
        <v>45466</v>
      </c>
      <c r="H1178" t="s">
        <v>42</v>
      </c>
      <c r="I1178" t="s">
        <v>82</v>
      </c>
      <c r="J1178" t="s">
        <v>50</v>
      </c>
      <c r="K1178" t="s">
        <v>125</v>
      </c>
      <c r="L1178" t="s">
        <v>57</v>
      </c>
      <c r="M1178" t="s">
        <v>122</v>
      </c>
      <c r="N1178">
        <v>5</v>
      </c>
      <c r="O1178" t="s">
        <v>117</v>
      </c>
      <c r="P1178" s="11">
        <v>5900</v>
      </c>
      <c r="Q1178" t="s">
        <v>265</v>
      </c>
      <c r="R1178" s="11">
        <f t="shared" si="36"/>
        <v>5900</v>
      </c>
      <c r="S1178" t="str">
        <f t="shared" si="37"/>
        <v>One-Time</v>
      </c>
    </row>
    <row r="1179" spans="1:19" ht="15" customHeight="1" x14ac:dyDescent="0.3">
      <c r="A1179">
        <v>1178</v>
      </c>
      <c r="B1179" t="s">
        <v>1632</v>
      </c>
      <c r="C1179">
        <v>4597589</v>
      </c>
      <c r="D1179" t="s">
        <v>114</v>
      </c>
      <c r="E1179">
        <v>27</v>
      </c>
      <c r="F1179" t="s">
        <v>75</v>
      </c>
      <c r="G1179" s="10">
        <v>45467</v>
      </c>
      <c r="H1179" t="s">
        <v>42</v>
      </c>
      <c r="I1179" t="s">
        <v>84</v>
      </c>
      <c r="J1179" t="s">
        <v>50</v>
      </c>
      <c r="K1179" t="s">
        <v>125</v>
      </c>
      <c r="L1179" t="s">
        <v>57</v>
      </c>
      <c r="M1179" t="s">
        <v>122</v>
      </c>
      <c r="N1179">
        <v>8</v>
      </c>
      <c r="O1179" t="s">
        <v>117</v>
      </c>
      <c r="P1179" s="11">
        <v>5900</v>
      </c>
      <c r="Q1179" t="s">
        <v>1633</v>
      </c>
      <c r="R1179" s="11">
        <f t="shared" si="36"/>
        <v>0</v>
      </c>
      <c r="S1179" t="str">
        <f t="shared" si="37"/>
        <v>One-Time</v>
      </c>
    </row>
    <row r="1180" spans="1:19" ht="15" customHeight="1" x14ac:dyDescent="0.3">
      <c r="A1180">
        <v>1179</v>
      </c>
      <c r="B1180" t="s">
        <v>1634</v>
      </c>
      <c r="C1180">
        <v>2544564</v>
      </c>
      <c r="D1180" t="s">
        <v>114</v>
      </c>
      <c r="E1180">
        <v>54</v>
      </c>
      <c r="F1180" t="s">
        <v>77</v>
      </c>
      <c r="G1180" s="10">
        <v>45468</v>
      </c>
      <c r="H1180" t="s">
        <v>42</v>
      </c>
      <c r="I1180" t="s">
        <v>82</v>
      </c>
      <c r="J1180" t="s">
        <v>50</v>
      </c>
      <c r="K1180" t="s">
        <v>125</v>
      </c>
      <c r="L1180" t="s">
        <v>57</v>
      </c>
      <c r="M1180" t="s">
        <v>122</v>
      </c>
      <c r="N1180">
        <v>9</v>
      </c>
      <c r="O1180" t="s">
        <v>117</v>
      </c>
      <c r="P1180" s="11">
        <v>5900</v>
      </c>
      <c r="Q1180" t="s">
        <v>71</v>
      </c>
      <c r="R1180" s="11">
        <f t="shared" si="36"/>
        <v>5900</v>
      </c>
      <c r="S1180" t="str">
        <f t="shared" si="37"/>
        <v>One-Time</v>
      </c>
    </row>
    <row r="1181" spans="1:19" ht="15" customHeight="1" x14ac:dyDescent="0.3">
      <c r="A1181">
        <v>1180</v>
      </c>
      <c r="B1181" t="s">
        <v>1635</v>
      </c>
      <c r="C1181">
        <v>4833870</v>
      </c>
      <c r="D1181" t="s">
        <v>114</v>
      </c>
      <c r="E1181">
        <v>26</v>
      </c>
      <c r="F1181" t="s">
        <v>75</v>
      </c>
      <c r="G1181" s="10">
        <v>45469</v>
      </c>
      <c r="H1181" t="s">
        <v>42</v>
      </c>
      <c r="I1181" t="s">
        <v>82</v>
      </c>
      <c r="J1181" t="s">
        <v>50</v>
      </c>
      <c r="K1181" t="s">
        <v>144</v>
      </c>
      <c r="L1181" t="s">
        <v>57</v>
      </c>
      <c r="M1181" t="s">
        <v>122</v>
      </c>
      <c r="N1181">
        <v>4</v>
      </c>
      <c r="O1181" t="s">
        <v>117</v>
      </c>
      <c r="P1181" s="11">
        <v>5900</v>
      </c>
      <c r="Q1181" t="s">
        <v>1574</v>
      </c>
      <c r="R1181" s="11">
        <f t="shared" si="36"/>
        <v>5900</v>
      </c>
      <c r="S1181" t="str">
        <f t="shared" si="37"/>
        <v>One-Time</v>
      </c>
    </row>
    <row r="1182" spans="1:19" ht="15" customHeight="1" x14ac:dyDescent="0.3">
      <c r="A1182">
        <v>1181</v>
      </c>
      <c r="B1182" t="s">
        <v>1636</v>
      </c>
      <c r="C1182">
        <v>7010898</v>
      </c>
      <c r="D1182" t="s">
        <v>114</v>
      </c>
      <c r="E1182">
        <v>31</v>
      </c>
      <c r="F1182" t="s">
        <v>76</v>
      </c>
      <c r="G1182" s="10">
        <v>45470</v>
      </c>
      <c r="H1182" t="s">
        <v>42</v>
      </c>
      <c r="I1182" t="s">
        <v>82</v>
      </c>
      <c r="J1182" t="s">
        <v>50</v>
      </c>
      <c r="K1182" t="s">
        <v>144</v>
      </c>
      <c r="L1182" t="s">
        <v>57</v>
      </c>
      <c r="M1182" t="s">
        <v>122</v>
      </c>
      <c r="N1182">
        <v>7</v>
      </c>
      <c r="O1182" t="s">
        <v>117</v>
      </c>
      <c r="P1182" s="11">
        <v>5900</v>
      </c>
      <c r="Q1182" t="s">
        <v>390</v>
      </c>
      <c r="R1182" s="11">
        <f t="shared" si="36"/>
        <v>5900</v>
      </c>
      <c r="S1182" t="str">
        <f t="shared" si="37"/>
        <v>One-Time</v>
      </c>
    </row>
    <row r="1183" spans="1:19" ht="15" customHeight="1" x14ac:dyDescent="0.3">
      <c r="A1183">
        <v>1182</v>
      </c>
      <c r="B1183" t="s">
        <v>1637</v>
      </c>
      <c r="C1183">
        <v>9967268</v>
      </c>
      <c r="D1183" t="s">
        <v>114</v>
      </c>
      <c r="E1183">
        <v>64</v>
      </c>
      <c r="F1183" t="s">
        <v>77</v>
      </c>
      <c r="G1183" s="10">
        <v>45471</v>
      </c>
      <c r="H1183" t="s">
        <v>42</v>
      </c>
      <c r="I1183" t="s">
        <v>82</v>
      </c>
      <c r="J1183" t="s">
        <v>50</v>
      </c>
      <c r="K1183" t="s">
        <v>144</v>
      </c>
      <c r="L1183" t="s">
        <v>57</v>
      </c>
      <c r="M1183" t="s">
        <v>122</v>
      </c>
      <c r="N1183">
        <v>8</v>
      </c>
      <c r="O1183" t="s">
        <v>117</v>
      </c>
      <c r="P1183" s="11">
        <v>5900</v>
      </c>
      <c r="Q1183" t="s">
        <v>390</v>
      </c>
      <c r="R1183" s="11">
        <f t="shared" si="36"/>
        <v>5900</v>
      </c>
      <c r="S1183" t="str">
        <f t="shared" si="37"/>
        <v>One-Time</v>
      </c>
    </row>
    <row r="1184" spans="1:19" ht="15" customHeight="1" x14ac:dyDescent="0.3">
      <c r="A1184">
        <v>1183</v>
      </c>
      <c r="B1184" t="s">
        <v>1638</v>
      </c>
      <c r="C1184">
        <v>1897745</v>
      </c>
      <c r="D1184" t="s">
        <v>114</v>
      </c>
      <c r="E1184">
        <v>61</v>
      </c>
      <c r="F1184" t="s">
        <v>77</v>
      </c>
      <c r="G1184" s="10">
        <v>45472</v>
      </c>
      <c r="H1184" t="s">
        <v>42</v>
      </c>
      <c r="I1184" t="s">
        <v>84</v>
      </c>
      <c r="J1184" t="s">
        <v>50</v>
      </c>
      <c r="K1184" t="s">
        <v>144</v>
      </c>
      <c r="L1184" t="s">
        <v>57</v>
      </c>
      <c r="M1184" t="s">
        <v>122</v>
      </c>
      <c r="N1184">
        <v>32</v>
      </c>
      <c r="O1184" t="s">
        <v>117</v>
      </c>
      <c r="P1184" s="11">
        <v>5900</v>
      </c>
      <c r="Q1184" t="s">
        <v>696</v>
      </c>
      <c r="R1184" s="11">
        <f t="shared" si="36"/>
        <v>0</v>
      </c>
      <c r="S1184" t="str">
        <f t="shared" si="37"/>
        <v>One-Time</v>
      </c>
    </row>
    <row r="1185" spans="1:19" ht="15" customHeight="1" x14ac:dyDescent="0.3">
      <c r="A1185">
        <v>1184</v>
      </c>
      <c r="B1185" t="s">
        <v>1639</v>
      </c>
      <c r="C1185">
        <v>4450198</v>
      </c>
      <c r="D1185" t="s">
        <v>114</v>
      </c>
      <c r="E1185">
        <v>28</v>
      </c>
      <c r="F1185" t="s">
        <v>75</v>
      </c>
      <c r="G1185" s="10">
        <v>45473</v>
      </c>
      <c r="H1185" t="s">
        <v>42</v>
      </c>
      <c r="I1185" t="s">
        <v>82</v>
      </c>
      <c r="J1185" t="s">
        <v>50</v>
      </c>
      <c r="K1185" t="s">
        <v>144</v>
      </c>
      <c r="L1185" t="s">
        <v>57</v>
      </c>
      <c r="M1185" t="s">
        <v>122</v>
      </c>
      <c r="N1185">
        <v>3</v>
      </c>
      <c r="O1185" t="s">
        <v>117</v>
      </c>
      <c r="P1185" s="11">
        <v>5900</v>
      </c>
      <c r="Q1185" t="s">
        <v>1640</v>
      </c>
      <c r="R1185" s="11">
        <f t="shared" si="36"/>
        <v>5900</v>
      </c>
      <c r="S1185" t="str">
        <f t="shared" si="37"/>
        <v>One-Time</v>
      </c>
    </row>
    <row r="1186" spans="1:19" ht="15" customHeight="1" x14ac:dyDescent="0.3">
      <c r="A1186">
        <v>1185</v>
      </c>
      <c r="B1186" t="s">
        <v>1641</v>
      </c>
      <c r="C1186">
        <v>8761336</v>
      </c>
      <c r="D1186" t="s">
        <v>114</v>
      </c>
      <c r="E1186">
        <v>27</v>
      </c>
      <c r="F1186" t="s">
        <v>75</v>
      </c>
      <c r="G1186" s="10">
        <v>45474</v>
      </c>
      <c r="H1186" t="s">
        <v>43</v>
      </c>
      <c r="I1186" t="s">
        <v>82</v>
      </c>
      <c r="J1186" t="s">
        <v>50</v>
      </c>
      <c r="K1186" t="s">
        <v>144</v>
      </c>
      <c r="L1186" t="s">
        <v>57</v>
      </c>
      <c r="M1186" t="s">
        <v>122</v>
      </c>
      <c r="N1186">
        <v>48</v>
      </c>
      <c r="O1186" t="s">
        <v>117</v>
      </c>
      <c r="P1186" s="11">
        <v>5900</v>
      </c>
      <c r="Q1186" t="s">
        <v>902</v>
      </c>
      <c r="R1186" s="11">
        <f t="shared" si="36"/>
        <v>5900</v>
      </c>
      <c r="S1186" t="str">
        <f t="shared" si="37"/>
        <v>One-Time</v>
      </c>
    </row>
    <row r="1187" spans="1:19" ht="15" customHeight="1" x14ac:dyDescent="0.3">
      <c r="A1187">
        <v>1186</v>
      </c>
      <c r="B1187" t="s">
        <v>1642</v>
      </c>
      <c r="C1187">
        <v>3528677</v>
      </c>
      <c r="D1187" t="s">
        <v>114</v>
      </c>
      <c r="E1187">
        <v>42</v>
      </c>
      <c r="F1187" t="s">
        <v>76</v>
      </c>
      <c r="G1187" s="10">
        <v>45475</v>
      </c>
      <c r="H1187" t="s">
        <v>43</v>
      </c>
      <c r="I1187" t="s">
        <v>82</v>
      </c>
      <c r="J1187" t="s">
        <v>50</v>
      </c>
      <c r="K1187" t="s">
        <v>144</v>
      </c>
      <c r="L1187" t="s">
        <v>57</v>
      </c>
      <c r="M1187" t="s">
        <v>122</v>
      </c>
      <c r="N1187">
        <v>5</v>
      </c>
      <c r="O1187" t="s">
        <v>117</v>
      </c>
      <c r="P1187" s="11">
        <v>5900</v>
      </c>
      <c r="Q1187" t="s">
        <v>1643</v>
      </c>
      <c r="R1187" s="11">
        <f t="shared" si="36"/>
        <v>5900</v>
      </c>
      <c r="S1187" t="str">
        <f t="shared" si="37"/>
        <v>One-Time</v>
      </c>
    </row>
    <row r="1188" spans="1:19" ht="15" customHeight="1" x14ac:dyDescent="0.3">
      <c r="A1188">
        <v>1187</v>
      </c>
      <c r="B1188" t="s">
        <v>1644</v>
      </c>
      <c r="C1188">
        <v>8373738</v>
      </c>
      <c r="D1188" t="s">
        <v>114</v>
      </c>
      <c r="E1188">
        <v>34</v>
      </c>
      <c r="F1188" t="s">
        <v>76</v>
      </c>
      <c r="G1188" s="10">
        <v>45476</v>
      </c>
      <c r="H1188" t="s">
        <v>43</v>
      </c>
      <c r="I1188" t="s">
        <v>82</v>
      </c>
      <c r="J1188" t="s">
        <v>50</v>
      </c>
      <c r="K1188" t="s">
        <v>132</v>
      </c>
      <c r="L1188" t="s">
        <v>57</v>
      </c>
      <c r="M1188" t="s">
        <v>122</v>
      </c>
      <c r="N1188">
        <v>2</v>
      </c>
      <c r="O1188" t="s">
        <v>117</v>
      </c>
      <c r="P1188" s="11">
        <v>5900</v>
      </c>
      <c r="Q1188" t="s">
        <v>510</v>
      </c>
      <c r="R1188" s="11">
        <f t="shared" si="36"/>
        <v>5900</v>
      </c>
      <c r="S1188" t="str">
        <f t="shared" si="37"/>
        <v>One-Time</v>
      </c>
    </row>
    <row r="1189" spans="1:19" ht="15" customHeight="1" x14ac:dyDescent="0.3">
      <c r="A1189">
        <v>1188</v>
      </c>
      <c r="B1189" t="s">
        <v>1645</v>
      </c>
      <c r="C1189">
        <v>1366596</v>
      </c>
      <c r="D1189" t="s">
        <v>114</v>
      </c>
      <c r="E1189">
        <v>23</v>
      </c>
      <c r="F1189" t="s">
        <v>75</v>
      </c>
      <c r="G1189" s="10">
        <v>45477</v>
      </c>
      <c r="H1189" t="s">
        <v>43</v>
      </c>
      <c r="I1189" t="s">
        <v>82</v>
      </c>
      <c r="J1189" t="s">
        <v>50</v>
      </c>
      <c r="K1189" t="s">
        <v>132</v>
      </c>
      <c r="L1189" t="s">
        <v>57</v>
      </c>
      <c r="M1189" t="s">
        <v>122</v>
      </c>
      <c r="N1189">
        <v>9</v>
      </c>
      <c r="O1189" t="s">
        <v>117</v>
      </c>
      <c r="P1189" s="11">
        <v>5900</v>
      </c>
      <c r="Q1189" t="s">
        <v>65</v>
      </c>
      <c r="R1189" s="11">
        <f t="shared" si="36"/>
        <v>5900</v>
      </c>
      <c r="S1189" t="str">
        <f t="shared" si="37"/>
        <v>One-Time</v>
      </c>
    </row>
    <row r="1190" spans="1:19" ht="15" customHeight="1" x14ac:dyDescent="0.3">
      <c r="A1190">
        <v>1189</v>
      </c>
      <c r="B1190" t="s">
        <v>1646</v>
      </c>
      <c r="C1190">
        <v>6229553</v>
      </c>
      <c r="D1190" t="s">
        <v>114</v>
      </c>
      <c r="E1190">
        <v>35</v>
      </c>
      <c r="F1190" t="s">
        <v>76</v>
      </c>
      <c r="G1190" s="10">
        <v>45478</v>
      </c>
      <c r="H1190" t="s">
        <v>43</v>
      </c>
      <c r="I1190" t="s">
        <v>82</v>
      </c>
      <c r="J1190" t="s">
        <v>50</v>
      </c>
      <c r="K1190" t="s">
        <v>132</v>
      </c>
      <c r="L1190" t="s">
        <v>58</v>
      </c>
      <c r="M1190" t="s">
        <v>122</v>
      </c>
      <c r="N1190">
        <v>7</v>
      </c>
      <c r="O1190" t="s">
        <v>117</v>
      </c>
      <c r="P1190" s="11">
        <v>5900</v>
      </c>
      <c r="Q1190" t="s">
        <v>150</v>
      </c>
      <c r="R1190" s="11">
        <f t="shared" si="36"/>
        <v>5900</v>
      </c>
      <c r="S1190" t="str">
        <f t="shared" si="37"/>
        <v>One-Time</v>
      </c>
    </row>
    <row r="1191" spans="1:19" ht="15" customHeight="1" x14ac:dyDescent="0.3">
      <c r="A1191">
        <v>1190</v>
      </c>
      <c r="B1191" t="s">
        <v>1647</v>
      </c>
      <c r="C1191">
        <v>4989878</v>
      </c>
      <c r="D1191" t="s">
        <v>114</v>
      </c>
      <c r="E1191">
        <v>49</v>
      </c>
      <c r="F1191" t="s">
        <v>76</v>
      </c>
      <c r="G1191" s="10">
        <v>45479</v>
      </c>
      <c r="H1191" t="s">
        <v>43</v>
      </c>
      <c r="I1191" t="s">
        <v>82</v>
      </c>
      <c r="J1191" t="s">
        <v>50</v>
      </c>
      <c r="K1191" t="s">
        <v>132</v>
      </c>
      <c r="L1191" t="s">
        <v>58</v>
      </c>
      <c r="M1191" t="s">
        <v>122</v>
      </c>
      <c r="N1191">
        <v>2</v>
      </c>
      <c r="O1191" t="s">
        <v>117</v>
      </c>
      <c r="P1191" s="11">
        <v>5900</v>
      </c>
      <c r="Q1191" t="s">
        <v>70</v>
      </c>
      <c r="R1191" s="11">
        <f t="shared" si="36"/>
        <v>5900</v>
      </c>
      <c r="S1191" t="str">
        <f t="shared" si="37"/>
        <v>One-Time</v>
      </c>
    </row>
    <row r="1192" spans="1:19" ht="15" customHeight="1" x14ac:dyDescent="0.3">
      <c r="A1192">
        <v>1191</v>
      </c>
      <c r="B1192" t="s">
        <v>1648</v>
      </c>
      <c r="C1192">
        <v>5176395</v>
      </c>
      <c r="D1192" t="s">
        <v>114</v>
      </c>
      <c r="E1192">
        <v>21</v>
      </c>
      <c r="F1192" t="s">
        <v>75</v>
      </c>
      <c r="G1192" s="10">
        <v>45480</v>
      </c>
      <c r="H1192" t="s">
        <v>43</v>
      </c>
      <c r="I1192" t="s">
        <v>82</v>
      </c>
      <c r="J1192" t="s">
        <v>50</v>
      </c>
      <c r="K1192" t="s">
        <v>132</v>
      </c>
      <c r="L1192" t="s">
        <v>58</v>
      </c>
      <c r="M1192" t="s">
        <v>122</v>
      </c>
      <c r="N1192">
        <v>8</v>
      </c>
      <c r="O1192" t="s">
        <v>117</v>
      </c>
      <c r="P1192" s="11">
        <v>5900</v>
      </c>
      <c r="Q1192" t="s">
        <v>62</v>
      </c>
      <c r="R1192" s="11">
        <f t="shared" si="36"/>
        <v>5900</v>
      </c>
      <c r="S1192" t="str">
        <f t="shared" si="37"/>
        <v>One-Time</v>
      </c>
    </row>
    <row r="1193" spans="1:19" ht="15" customHeight="1" x14ac:dyDescent="0.3">
      <c r="A1193">
        <v>1192</v>
      </c>
      <c r="B1193" t="s">
        <v>1649</v>
      </c>
      <c r="C1193">
        <v>2470347</v>
      </c>
      <c r="D1193" t="s">
        <v>114</v>
      </c>
      <c r="E1193">
        <v>41</v>
      </c>
      <c r="F1193" t="s">
        <v>76</v>
      </c>
      <c r="G1193" s="10">
        <v>45481</v>
      </c>
      <c r="H1193" t="s">
        <v>43</v>
      </c>
      <c r="I1193" t="s">
        <v>82</v>
      </c>
      <c r="J1193" t="s">
        <v>50</v>
      </c>
      <c r="K1193" t="s">
        <v>132</v>
      </c>
      <c r="L1193" t="s">
        <v>58</v>
      </c>
      <c r="M1193" t="s">
        <v>122</v>
      </c>
      <c r="N1193">
        <v>4</v>
      </c>
      <c r="O1193" t="s">
        <v>117</v>
      </c>
      <c r="P1193" s="11">
        <v>5900</v>
      </c>
      <c r="Q1193" t="s">
        <v>65</v>
      </c>
      <c r="R1193" s="11">
        <f t="shared" si="36"/>
        <v>5900</v>
      </c>
      <c r="S1193" t="str">
        <f t="shared" si="37"/>
        <v>One-Time</v>
      </c>
    </row>
    <row r="1194" spans="1:19" ht="15" customHeight="1" x14ac:dyDescent="0.3">
      <c r="A1194">
        <v>1193</v>
      </c>
      <c r="B1194" t="s">
        <v>1650</v>
      </c>
      <c r="C1194">
        <v>8121668</v>
      </c>
      <c r="D1194" t="s">
        <v>114</v>
      </c>
      <c r="E1194">
        <v>45</v>
      </c>
      <c r="F1194" t="s">
        <v>76</v>
      </c>
      <c r="G1194" s="10">
        <v>45482</v>
      </c>
      <c r="H1194" t="s">
        <v>43</v>
      </c>
      <c r="I1194" t="s">
        <v>82</v>
      </c>
      <c r="J1194" t="s">
        <v>50</v>
      </c>
      <c r="K1194" t="s">
        <v>132</v>
      </c>
      <c r="L1194" t="s">
        <v>58</v>
      </c>
      <c r="M1194" t="s">
        <v>122</v>
      </c>
      <c r="N1194">
        <v>5</v>
      </c>
      <c r="O1194" t="s">
        <v>117</v>
      </c>
      <c r="P1194" s="11">
        <v>5900</v>
      </c>
      <c r="Q1194" t="s">
        <v>194</v>
      </c>
      <c r="R1194" s="11">
        <f t="shared" si="36"/>
        <v>5900</v>
      </c>
      <c r="S1194" t="str">
        <f t="shared" si="37"/>
        <v>One-Time</v>
      </c>
    </row>
    <row r="1195" spans="1:19" ht="15" customHeight="1" x14ac:dyDescent="0.3">
      <c r="A1195">
        <v>1194</v>
      </c>
      <c r="B1195" t="s">
        <v>1651</v>
      </c>
      <c r="C1195">
        <v>1484330</v>
      </c>
      <c r="D1195" t="s">
        <v>114</v>
      </c>
      <c r="E1195">
        <v>32</v>
      </c>
      <c r="F1195" t="s">
        <v>76</v>
      </c>
      <c r="G1195" s="10">
        <v>45483</v>
      </c>
      <c r="H1195" t="s">
        <v>43</v>
      </c>
      <c r="I1195" t="s">
        <v>82</v>
      </c>
      <c r="J1195" t="s">
        <v>50</v>
      </c>
      <c r="K1195" t="s">
        <v>132</v>
      </c>
      <c r="L1195" t="s">
        <v>58</v>
      </c>
      <c r="M1195" t="s">
        <v>122</v>
      </c>
      <c r="N1195">
        <v>6</v>
      </c>
      <c r="O1195" t="s">
        <v>117</v>
      </c>
      <c r="P1195" s="11">
        <v>5900</v>
      </c>
      <c r="Q1195" t="s">
        <v>65</v>
      </c>
      <c r="R1195" s="11">
        <f t="shared" si="36"/>
        <v>5900</v>
      </c>
      <c r="S1195" t="str">
        <f t="shared" si="37"/>
        <v>One-Time</v>
      </c>
    </row>
    <row r="1196" spans="1:19" ht="15" customHeight="1" x14ac:dyDescent="0.3">
      <c r="A1196">
        <v>1195</v>
      </c>
      <c r="B1196" t="s">
        <v>1652</v>
      </c>
      <c r="C1196">
        <v>1753921</v>
      </c>
      <c r="D1196" t="s">
        <v>114</v>
      </c>
      <c r="E1196">
        <v>31</v>
      </c>
      <c r="F1196" t="s">
        <v>76</v>
      </c>
      <c r="G1196" s="10">
        <v>45484</v>
      </c>
      <c r="H1196" t="s">
        <v>43</v>
      </c>
      <c r="I1196" t="s">
        <v>82</v>
      </c>
      <c r="J1196" t="s">
        <v>50</v>
      </c>
      <c r="K1196" t="s">
        <v>132</v>
      </c>
      <c r="L1196" t="s">
        <v>58</v>
      </c>
      <c r="M1196" t="s">
        <v>122</v>
      </c>
      <c r="N1196">
        <v>31</v>
      </c>
      <c r="O1196" t="s">
        <v>117</v>
      </c>
      <c r="P1196" s="11">
        <v>5900</v>
      </c>
      <c r="Q1196" t="s">
        <v>62</v>
      </c>
      <c r="R1196" s="11">
        <f t="shared" si="36"/>
        <v>5900</v>
      </c>
      <c r="S1196" t="str">
        <f t="shared" si="37"/>
        <v>One-Time</v>
      </c>
    </row>
    <row r="1197" spans="1:19" ht="15" customHeight="1" x14ac:dyDescent="0.3">
      <c r="A1197">
        <v>1196</v>
      </c>
      <c r="B1197" t="s">
        <v>1653</v>
      </c>
      <c r="C1197">
        <v>6968357</v>
      </c>
      <c r="D1197" t="s">
        <v>114</v>
      </c>
      <c r="E1197">
        <v>45</v>
      </c>
      <c r="F1197" t="s">
        <v>76</v>
      </c>
      <c r="G1197" s="10">
        <v>45485</v>
      </c>
      <c r="H1197" t="s">
        <v>43</v>
      </c>
      <c r="I1197" t="s">
        <v>85</v>
      </c>
      <c r="J1197" t="s">
        <v>50</v>
      </c>
      <c r="K1197" t="s">
        <v>132</v>
      </c>
      <c r="L1197" t="s">
        <v>58</v>
      </c>
      <c r="M1197" t="s">
        <v>122</v>
      </c>
      <c r="N1197">
        <v>2</v>
      </c>
      <c r="O1197" t="s">
        <v>117</v>
      </c>
      <c r="P1197" s="11">
        <v>5900</v>
      </c>
      <c r="Q1197" t="s">
        <v>62</v>
      </c>
      <c r="R1197" s="11">
        <f t="shared" si="36"/>
        <v>0</v>
      </c>
      <c r="S1197" t="str">
        <f t="shared" si="37"/>
        <v>One-Time</v>
      </c>
    </row>
    <row r="1198" spans="1:19" ht="15" customHeight="1" x14ac:dyDescent="0.3">
      <c r="A1198">
        <v>1197</v>
      </c>
      <c r="B1198" t="s">
        <v>1654</v>
      </c>
      <c r="C1198">
        <v>5809177</v>
      </c>
      <c r="D1198" t="s">
        <v>114</v>
      </c>
      <c r="E1198">
        <v>47</v>
      </c>
      <c r="F1198" t="s">
        <v>76</v>
      </c>
      <c r="G1198" s="10">
        <v>45486</v>
      </c>
      <c r="H1198" t="s">
        <v>43</v>
      </c>
      <c r="I1198" t="s">
        <v>85</v>
      </c>
      <c r="J1198" t="s">
        <v>50</v>
      </c>
      <c r="K1198" t="s">
        <v>132</v>
      </c>
      <c r="L1198" t="s">
        <v>58</v>
      </c>
      <c r="M1198" t="s">
        <v>116</v>
      </c>
      <c r="N1198">
        <v>5</v>
      </c>
      <c r="O1198" t="s">
        <v>117</v>
      </c>
      <c r="P1198" s="11">
        <v>5900</v>
      </c>
      <c r="Q1198" t="s">
        <v>357</v>
      </c>
      <c r="R1198" s="11">
        <f t="shared" si="36"/>
        <v>0</v>
      </c>
      <c r="S1198" t="str">
        <f t="shared" si="37"/>
        <v>One-Time</v>
      </c>
    </row>
    <row r="1199" spans="1:19" ht="15" customHeight="1" x14ac:dyDescent="0.3">
      <c r="A1199">
        <v>1198</v>
      </c>
      <c r="B1199" t="s">
        <v>1655</v>
      </c>
      <c r="C1199">
        <v>1398058</v>
      </c>
      <c r="D1199" t="s">
        <v>114</v>
      </c>
      <c r="E1199">
        <v>26</v>
      </c>
      <c r="F1199" t="s">
        <v>75</v>
      </c>
      <c r="G1199" s="10">
        <v>45487</v>
      </c>
      <c r="H1199" t="s">
        <v>43</v>
      </c>
      <c r="I1199" t="s">
        <v>82</v>
      </c>
      <c r="J1199" t="s">
        <v>50</v>
      </c>
      <c r="K1199" t="s">
        <v>132</v>
      </c>
      <c r="L1199" t="s">
        <v>58</v>
      </c>
      <c r="M1199" t="s">
        <v>116</v>
      </c>
      <c r="N1199">
        <v>5</v>
      </c>
      <c r="O1199" t="s">
        <v>117</v>
      </c>
      <c r="P1199" s="11">
        <v>5900</v>
      </c>
      <c r="Q1199" t="s">
        <v>71</v>
      </c>
      <c r="R1199" s="11">
        <f t="shared" si="36"/>
        <v>5900</v>
      </c>
      <c r="S1199" t="str">
        <f t="shared" si="37"/>
        <v>One-Time</v>
      </c>
    </row>
    <row r="1200" spans="1:19" ht="15" customHeight="1" x14ac:dyDescent="0.3">
      <c r="A1200">
        <v>1199</v>
      </c>
      <c r="B1200" t="s">
        <v>1656</v>
      </c>
      <c r="C1200">
        <v>8829622</v>
      </c>
      <c r="D1200" t="s">
        <v>114</v>
      </c>
      <c r="E1200">
        <v>41</v>
      </c>
      <c r="F1200" t="s">
        <v>76</v>
      </c>
      <c r="G1200" s="10">
        <v>45488</v>
      </c>
      <c r="H1200" t="s">
        <v>43</v>
      </c>
      <c r="I1200" t="s">
        <v>84</v>
      </c>
      <c r="J1200" t="s">
        <v>50</v>
      </c>
      <c r="K1200" t="s">
        <v>132</v>
      </c>
      <c r="L1200" t="s">
        <v>58</v>
      </c>
      <c r="M1200" t="s">
        <v>116</v>
      </c>
      <c r="N1200">
        <v>8</v>
      </c>
      <c r="O1200" t="s">
        <v>117</v>
      </c>
      <c r="P1200" s="11">
        <v>5900</v>
      </c>
      <c r="Q1200" t="s">
        <v>62</v>
      </c>
      <c r="R1200" s="11">
        <f t="shared" si="36"/>
        <v>0</v>
      </c>
      <c r="S1200" t="str">
        <f t="shared" si="37"/>
        <v>One-Time</v>
      </c>
    </row>
    <row r="1201" spans="1:19" ht="15" customHeight="1" x14ac:dyDescent="0.3">
      <c r="A1201">
        <v>1200</v>
      </c>
      <c r="B1201" t="s">
        <v>1657</v>
      </c>
      <c r="C1201">
        <v>4573619</v>
      </c>
      <c r="D1201" t="s">
        <v>114</v>
      </c>
      <c r="E1201">
        <v>39</v>
      </c>
      <c r="F1201" t="s">
        <v>76</v>
      </c>
      <c r="G1201" s="10">
        <v>45489</v>
      </c>
      <c r="H1201" t="s">
        <v>43</v>
      </c>
      <c r="I1201" t="s">
        <v>82</v>
      </c>
      <c r="J1201" t="s">
        <v>50</v>
      </c>
      <c r="K1201" t="s">
        <v>132</v>
      </c>
      <c r="L1201" t="s">
        <v>58</v>
      </c>
      <c r="M1201" t="s">
        <v>116</v>
      </c>
      <c r="N1201">
        <v>9</v>
      </c>
      <c r="O1201" t="s">
        <v>117</v>
      </c>
      <c r="P1201" s="11">
        <v>5900</v>
      </c>
      <c r="Q1201" t="s">
        <v>357</v>
      </c>
      <c r="R1201" s="11">
        <f t="shared" si="36"/>
        <v>5900</v>
      </c>
      <c r="S1201" t="str">
        <f t="shared" si="37"/>
        <v>One-Time</v>
      </c>
    </row>
    <row r="1202" spans="1:19" ht="15" customHeight="1" x14ac:dyDescent="0.3">
      <c r="A1202">
        <v>1201</v>
      </c>
      <c r="B1202" t="s">
        <v>1658</v>
      </c>
      <c r="C1202">
        <v>9927746</v>
      </c>
      <c r="D1202" t="s">
        <v>114</v>
      </c>
      <c r="E1202">
        <v>26</v>
      </c>
      <c r="F1202" t="s">
        <v>75</v>
      </c>
      <c r="G1202" s="10">
        <v>45490</v>
      </c>
      <c r="H1202" t="s">
        <v>43</v>
      </c>
      <c r="I1202" t="s">
        <v>82</v>
      </c>
      <c r="J1202" t="s">
        <v>50</v>
      </c>
      <c r="K1202" t="s">
        <v>142</v>
      </c>
      <c r="L1202" t="s">
        <v>58</v>
      </c>
      <c r="M1202" t="s">
        <v>116</v>
      </c>
      <c r="N1202">
        <v>8</v>
      </c>
      <c r="O1202" t="s">
        <v>117</v>
      </c>
      <c r="P1202" s="11">
        <v>6600</v>
      </c>
      <c r="Q1202" t="s">
        <v>357</v>
      </c>
      <c r="R1202" s="11">
        <f t="shared" si="36"/>
        <v>6600</v>
      </c>
      <c r="S1202" t="str">
        <f t="shared" si="37"/>
        <v>One-Time</v>
      </c>
    </row>
    <row r="1203" spans="1:19" ht="15" customHeight="1" x14ac:dyDescent="0.3">
      <c r="A1203">
        <v>1202</v>
      </c>
      <c r="B1203" t="s">
        <v>1659</v>
      </c>
      <c r="C1203">
        <v>4786933</v>
      </c>
      <c r="D1203" t="s">
        <v>114</v>
      </c>
      <c r="E1203">
        <v>72</v>
      </c>
      <c r="F1203" t="s">
        <v>77</v>
      </c>
      <c r="G1203" s="10">
        <v>45491</v>
      </c>
      <c r="H1203" t="s">
        <v>43</v>
      </c>
      <c r="I1203" t="s">
        <v>82</v>
      </c>
      <c r="J1203" t="s">
        <v>50</v>
      </c>
      <c r="K1203" t="s">
        <v>142</v>
      </c>
      <c r="L1203" t="s">
        <v>58</v>
      </c>
      <c r="M1203" t="s">
        <v>116</v>
      </c>
      <c r="N1203">
        <v>3</v>
      </c>
      <c r="O1203" t="s">
        <v>117</v>
      </c>
      <c r="P1203" s="11">
        <v>6600</v>
      </c>
      <c r="Q1203" t="s">
        <v>68</v>
      </c>
      <c r="R1203" s="11">
        <f t="shared" si="36"/>
        <v>6600</v>
      </c>
      <c r="S1203" t="str">
        <f t="shared" si="37"/>
        <v>Repeat</v>
      </c>
    </row>
    <row r="1204" spans="1:19" ht="15" customHeight="1" x14ac:dyDescent="0.3">
      <c r="A1204">
        <v>1203</v>
      </c>
      <c r="B1204" t="s">
        <v>1659</v>
      </c>
      <c r="C1204">
        <v>4786933</v>
      </c>
      <c r="D1204" t="s">
        <v>114</v>
      </c>
      <c r="E1204">
        <v>21</v>
      </c>
      <c r="F1204" t="s">
        <v>75</v>
      </c>
      <c r="G1204" s="10">
        <v>45492</v>
      </c>
      <c r="H1204" t="s">
        <v>43</v>
      </c>
      <c r="I1204" t="s">
        <v>82</v>
      </c>
      <c r="J1204" t="s">
        <v>50</v>
      </c>
      <c r="K1204" t="s">
        <v>142</v>
      </c>
      <c r="L1204" t="s">
        <v>58</v>
      </c>
      <c r="M1204" t="s">
        <v>116</v>
      </c>
      <c r="N1204">
        <v>4</v>
      </c>
      <c r="O1204" t="s">
        <v>117</v>
      </c>
      <c r="P1204" s="11">
        <v>6600</v>
      </c>
      <c r="Q1204" t="s">
        <v>68</v>
      </c>
      <c r="R1204" s="11">
        <f t="shared" si="36"/>
        <v>6600</v>
      </c>
      <c r="S1204" t="str">
        <f t="shared" si="37"/>
        <v>Repeat</v>
      </c>
    </row>
    <row r="1205" spans="1:19" ht="15" customHeight="1" x14ac:dyDescent="0.3">
      <c r="A1205">
        <v>1204</v>
      </c>
      <c r="B1205" t="s">
        <v>1659</v>
      </c>
      <c r="C1205">
        <v>4786933</v>
      </c>
      <c r="D1205" t="s">
        <v>114</v>
      </c>
      <c r="E1205">
        <v>30</v>
      </c>
      <c r="F1205" t="s">
        <v>76</v>
      </c>
      <c r="G1205" s="10">
        <v>45493</v>
      </c>
      <c r="H1205" t="s">
        <v>43</v>
      </c>
      <c r="I1205" t="s">
        <v>82</v>
      </c>
      <c r="J1205" t="s">
        <v>50</v>
      </c>
      <c r="K1205" t="s">
        <v>142</v>
      </c>
      <c r="L1205" t="s">
        <v>58</v>
      </c>
      <c r="M1205" t="s">
        <v>116</v>
      </c>
      <c r="N1205">
        <v>4</v>
      </c>
      <c r="O1205" t="s">
        <v>117</v>
      </c>
      <c r="P1205" s="11">
        <v>6600</v>
      </c>
      <c r="Q1205" t="s">
        <v>275</v>
      </c>
      <c r="R1205" s="11">
        <f t="shared" si="36"/>
        <v>6600</v>
      </c>
      <c r="S1205" t="str">
        <f t="shared" si="37"/>
        <v>Repeat</v>
      </c>
    </row>
    <row r="1206" spans="1:19" ht="15" customHeight="1" x14ac:dyDescent="0.3">
      <c r="A1206">
        <v>1205</v>
      </c>
      <c r="B1206" t="s">
        <v>1659</v>
      </c>
      <c r="C1206">
        <v>4786933</v>
      </c>
      <c r="D1206" t="s">
        <v>114</v>
      </c>
      <c r="E1206">
        <v>71</v>
      </c>
      <c r="F1206" t="s">
        <v>77</v>
      </c>
      <c r="G1206" s="10">
        <v>45494</v>
      </c>
      <c r="H1206" t="s">
        <v>43</v>
      </c>
      <c r="I1206" t="s">
        <v>82</v>
      </c>
      <c r="J1206" t="s">
        <v>50</v>
      </c>
      <c r="K1206" t="s">
        <v>142</v>
      </c>
      <c r="L1206" t="s">
        <v>58</v>
      </c>
      <c r="M1206" t="s">
        <v>116</v>
      </c>
      <c r="N1206">
        <v>9</v>
      </c>
      <c r="O1206" t="s">
        <v>117</v>
      </c>
      <c r="P1206" s="11">
        <v>6600</v>
      </c>
      <c r="Q1206" t="s">
        <v>160</v>
      </c>
      <c r="R1206" s="11">
        <f t="shared" si="36"/>
        <v>6600</v>
      </c>
      <c r="S1206" t="str">
        <f t="shared" si="37"/>
        <v>Repeat</v>
      </c>
    </row>
    <row r="1207" spans="1:19" ht="15" customHeight="1" x14ac:dyDescent="0.3">
      <c r="A1207">
        <v>1206</v>
      </c>
      <c r="B1207" t="s">
        <v>1660</v>
      </c>
      <c r="C1207">
        <v>7002542</v>
      </c>
      <c r="D1207" t="s">
        <v>114</v>
      </c>
      <c r="E1207">
        <v>22</v>
      </c>
      <c r="F1207" t="s">
        <v>75</v>
      </c>
      <c r="G1207" s="10">
        <v>45495</v>
      </c>
      <c r="H1207" t="s">
        <v>43</v>
      </c>
      <c r="I1207" t="s">
        <v>82</v>
      </c>
      <c r="J1207" t="s">
        <v>50</v>
      </c>
      <c r="K1207" t="s">
        <v>142</v>
      </c>
      <c r="L1207" t="s">
        <v>58</v>
      </c>
      <c r="M1207" t="s">
        <v>116</v>
      </c>
      <c r="N1207">
        <v>8</v>
      </c>
      <c r="O1207" t="s">
        <v>117</v>
      </c>
      <c r="P1207" s="11">
        <v>6600</v>
      </c>
      <c r="Q1207" t="s">
        <v>155</v>
      </c>
      <c r="R1207" s="11">
        <f t="shared" si="36"/>
        <v>6600</v>
      </c>
      <c r="S1207" t="str">
        <f t="shared" si="37"/>
        <v>One-Time</v>
      </c>
    </row>
    <row r="1208" spans="1:19" ht="15" customHeight="1" x14ac:dyDescent="0.3">
      <c r="A1208">
        <v>1207</v>
      </c>
      <c r="B1208" t="s">
        <v>1661</v>
      </c>
      <c r="C1208">
        <v>6834677</v>
      </c>
      <c r="D1208" t="s">
        <v>114</v>
      </c>
      <c r="E1208">
        <v>32</v>
      </c>
      <c r="F1208" t="s">
        <v>76</v>
      </c>
      <c r="G1208" s="10">
        <v>45496</v>
      </c>
      <c r="H1208" t="s">
        <v>43</v>
      </c>
      <c r="I1208" t="s">
        <v>82</v>
      </c>
      <c r="J1208" t="s">
        <v>50</v>
      </c>
      <c r="K1208" t="s">
        <v>142</v>
      </c>
      <c r="L1208" t="s">
        <v>58</v>
      </c>
      <c r="M1208" t="s">
        <v>116</v>
      </c>
      <c r="N1208">
        <v>3</v>
      </c>
      <c r="O1208" t="s">
        <v>117</v>
      </c>
      <c r="P1208" s="11">
        <v>6600</v>
      </c>
      <c r="Q1208" t="s">
        <v>1662</v>
      </c>
      <c r="R1208" s="11">
        <f t="shared" si="36"/>
        <v>6600</v>
      </c>
      <c r="S1208" t="str">
        <f t="shared" si="37"/>
        <v>One-Time</v>
      </c>
    </row>
    <row r="1209" spans="1:19" ht="15" customHeight="1" x14ac:dyDescent="0.3">
      <c r="A1209">
        <v>1208</v>
      </c>
      <c r="B1209" t="s">
        <v>1663</v>
      </c>
      <c r="C1209">
        <v>5535723</v>
      </c>
      <c r="D1209" t="s">
        <v>114</v>
      </c>
      <c r="E1209">
        <v>71</v>
      </c>
      <c r="F1209" t="s">
        <v>77</v>
      </c>
      <c r="G1209" s="10">
        <v>45497</v>
      </c>
      <c r="H1209" t="s">
        <v>43</v>
      </c>
      <c r="I1209" t="s">
        <v>82</v>
      </c>
      <c r="J1209" t="s">
        <v>50</v>
      </c>
      <c r="K1209" t="s">
        <v>142</v>
      </c>
      <c r="L1209" t="s">
        <v>58</v>
      </c>
      <c r="M1209" t="s">
        <v>116</v>
      </c>
      <c r="N1209">
        <v>6</v>
      </c>
      <c r="O1209" t="s">
        <v>117</v>
      </c>
      <c r="P1209" s="11">
        <v>6600</v>
      </c>
      <c r="Q1209" t="s">
        <v>65</v>
      </c>
      <c r="R1209" s="11">
        <f t="shared" si="36"/>
        <v>6600</v>
      </c>
      <c r="S1209" t="str">
        <f t="shared" si="37"/>
        <v>One-Time</v>
      </c>
    </row>
    <row r="1210" spans="1:19" ht="15" customHeight="1" x14ac:dyDescent="0.3">
      <c r="A1210">
        <v>1209</v>
      </c>
      <c r="B1210" t="s">
        <v>1664</v>
      </c>
      <c r="C1210">
        <v>8979469</v>
      </c>
      <c r="D1210" t="s">
        <v>114</v>
      </c>
      <c r="E1210">
        <v>76</v>
      </c>
      <c r="F1210" t="s">
        <v>77</v>
      </c>
      <c r="G1210" s="10">
        <v>45498</v>
      </c>
      <c r="H1210" t="s">
        <v>43</v>
      </c>
      <c r="I1210" t="s">
        <v>82</v>
      </c>
      <c r="J1210" t="s">
        <v>50</v>
      </c>
      <c r="K1210" t="s">
        <v>142</v>
      </c>
      <c r="L1210" t="s">
        <v>58</v>
      </c>
      <c r="M1210" t="s">
        <v>116</v>
      </c>
      <c r="N1210">
        <v>9</v>
      </c>
      <c r="O1210" t="s">
        <v>117</v>
      </c>
      <c r="P1210" s="11">
        <v>6600</v>
      </c>
      <c r="Q1210" t="s">
        <v>1665</v>
      </c>
      <c r="R1210" s="11">
        <f t="shared" si="36"/>
        <v>6600</v>
      </c>
      <c r="S1210" t="str">
        <f t="shared" si="37"/>
        <v>One-Time</v>
      </c>
    </row>
    <row r="1211" spans="1:19" ht="15" customHeight="1" x14ac:dyDescent="0.3">
      <c r="A1211">
        <v>1210</v>
      </c>
      <c r="B1211" t="s">
        <v>1666</v>
      </c>
      <c r="C1211">
        <v>7768870</v>
      </c>
      <c r="D1211" t="s">
        <v>114</v>
      </c>
      <c r="E1211">
        <v>30</v>
      </c>
      <c r="F1211" t="s">
        <v>76</v>
      </c>
      <c r="G1211" s="10">
        <v>45499</v>
      </c>
      <c r="H1211" t="s">
        <v>43</v>
      </c>
      <c r="I1211" t="s">
        <v>84</v>
      </c>
      <c r="J1211" t="s">
        <v>50</v>
      </c>
      <c r="K1211" t="s">
        <v>142</v>
      </c>
      <c r="L1211" t="s">
        <v>58</v>
      </c>
      <c r="M1211" t="s">
        <v>116</v>
      </c>
      <c r="N1211">
        <v>2</v>
      </c>
      <c r="O1211" t="s">
        <v>117</v>
      </c>
      <c r="P1211" s="11">
        <v>6600</v>
      </c>
      <c r="Q1211" t="s">
        <v>68</v>
      </c>
      <c r="R1211" s="11">
        <f t="shared" si="36"/>
        <v>0</v>
      </c>
      <c r="S1211" t="str">
        <f t="shared" si="37"/>
        <v>One-Time</v>
      </c>
    </row>
    <row r="1212" spans="1:19" ht="15" customHeight="1" x14ac:dyDescent="0.3">
      <c r="A1212">
        <v>1211</v>
      </c>
      <c r="B1212" t="s">
        <v>1667</v>
      </c>
      <c r="C1212">
        <v>2713833</v>
      </c>
      <c r="D1212" t="s">
        <v>114</v>
      </c>
      <c r="E1212">
        <v>32</v>
      </c>
      <c r="F1212" t="s">
        <v>76</v>
      </c>
      <c r="G1212" s="10">
        <v>45500</v>
      </c>
      <c r="H1212" t="s">
        <v>43</v>
      </c>
      <c r="I1212" t="s">
        <v>82</v>
      </c>
      <c r="J1212" t="s">
        <v>50</v>
      </c>
      <c r="K1212" t="s">
        <v>142</v>
      </c>
      <c r="L1212" t="s">
        <v>58</v>
      </c>
      <c r="M1212" t="s">
        <v>116</v>
      </c>
      <c r="N1212">
        <v>5</v>
      </c>
      <c r="O1212" t="s">
        <v>117</v>
      </c>
      <c r="P1212" s="11">
        <v>6600</v>
      </c>
      <c r="Q1212" t="s">
        <v>1668</v>
      </c>
      <c r="R1212" s="11">
        <f t="shared" si="36"/>
        <v>6600</v>
      </c>
      <c r="S1212" t="str">
        <f t="shared" si="37"/>
        <v>One-Time</v>
      </c>
    </row>
    <row r="1213" spans="1:19" ht="15" customHeight="1" x14ac:dyDescent="0.3">
      <c r="A1213">
        <v>1212</v>
      </c>
      <c r="B1213" t="s">
        <v>1669</v>
      </c>
      <c r="C1213">
        <v>4803692</v>
      </c>
      <c r="D1213" t="s">
        <v>114</v>
      </c>
      <c r="E1213">
        <v>39</v>
      </c>
      <c r="F1213" t="s">
        <v>76</v>
      </c>
      <c r="G1213" s="10">
        <v>45501</v>
      </c>
      <c r="H1213" t="s">
        <v>43</v>
      </c>
      <c r="I1213" t="s">
        <v>82</v>
      </c>
      <c r="J1213" t="s">
        <v>50</v>
      </c>
      <c r="K1213" t="s">
        <v>142</v>
      </c>
      <c r="L1213" t="s">
        <v>58</v>
      </c>
      <c r="M1213" t="s">
        <v>116</v>
      </c>
      <c r="N1213">
        <v>6</v>
      </c>
      <c r="O1213" t="s">
        <v>117</v>
      </c>
      <c r="P1213" s="11">
        <v>6600</v>
      </c>
      <c r="Q1213" t="s">
        <v>63</v>
      </c>
      <c r="R1213" s="11">
        <f t="shared" si="36"/>
        <v>6600</v>
      </c>
      <c r="S1213" t="str">
        <f t="shared" si="37"/>
        <v>One-Time</v>
      </c>
    </row>
    <row r="1214" spans="1:19" ht="15" customHeight="1" x14ac:dyDescent="0.3">
      <c r="A1214">
        <v>1213</v>
      </c>
      <c r="B1214" t="s">
        <v>1670</v>
      </c>
      <c r="C1214">
        <v>3727132</v>
      </c>
      <c r="D1214" t="s">
        <v>114</v>
      </c>
      <c r="E1214">
        <v>26</v>
      </c>
      <c r="F1214" t="s">
        <v>75</v>
      </c>
      <c r="G1214" s="10">
        <v>45502</v>
      </c>
      <c r="H1214" t="s">
        <v>43</v>
      </c>
      <c r="I1214" t="s">
        <v>82</v>
      </c>
      <c r="J1214" t="s">
        <v>50</v>
      </c>
      <c r="K1214" t="s">
        <v>142</v>
      </c>
      <c r="L1214" t="s">
        <v>58</v>
      </c>
      <c r="M1214" t="s">
        <v>122</v>
      </c>
      <c r="N1214">
        <v>9</v>
      </c>
      <c r="O1214" t="s">
        <v>117</v>
      </c>
      <c r="P1214" s="11">
        <v>6600</v>
      </c>
      <c r="Q1214" t="s">
        <v>1671</v>
      </c>
      <c r="R1214" s="11">
        <f t="shared" si="36"/>
        <v>6600</v>
      </c>
      <c r="S1214" t="str">
        <f t="shared" si="37"/>
        <v>One-Time</v>
      </c>
    </row>
    <row r="1215" spans="1:19" ht="15" customHeight="1" x14ac:dyDescent="0.3">
      <c r="A1215">
        <v>1214</v>
      </c>
      <c r="B1215" t="s">
        <v>1672</v>
      </c>
      <c r="C1215">
        <v>2714485</v>
      </c>
      <c r="D1215" t="s">
        <v>114</v>
      </c>
      <c r="E1215">
        <v>39</v>
      </c>
      <c r="F1215" t="s">
        <v>76</v>
      </c>
      <c r="G1215" s="10">
        <v>45503</v>
      </c>
      <c r="H1215" t="s">
        <v>43</v>
      </c>
      <c r="I1215" t="s">
        <v>82</v>
      </c>
      <c r="J1215" t="s">
        <v>50</v>
      </c>
      <c r="K1215" t="s">
        <v>142</v>
      </c>
      <c r="L1215" t="s">
        <v>58</v>
      </c>
      <c r="M1215" t="s">
        <v>122</v>
      </c>
      <c r="N1215">
        <v>7</v>
      </c>
      <c r="O1215" t="s">
        <v>117</v>
      </c>
      <c r="P1215" s="11">
        <v>6600</v>
      </c>
      <c r="Q1215" t="s">
        <v>67</v>
      </c>
      <c r="R1215" s="11">
        <f t="shared" si="36"/>
        <v>6600</v>
      </c>
      <c r="S1215" t="str">
        <f t="shared" si="37"/>
        <v>One-Time</v>
      </c>
    </row>
    <row r="1216" spans="1:19" ht="15" customHeight="1" x14ac:dyDescent="0.3">
      <c r="A1216">
        <v>1215</v>
      </c>
      <c r="B1216" t="s">
        <v>1673</v>
      </c>
      <c r="C1216">
        <v>1518509</v>
      </c>
      <c r="D1216" t="s">
        <v>114</v>
      </c>
      <c r="E1216">
        <v>32</v>
      </c>
      <c r="F1216" t="s">
        <v>76</v>
      </c>
      <c r="G1216" s="10">
        <v>45504</v>
      </c>
      <c r="H1216" t="s">
        <v>43</v>
      </c>
      <c r="I1216" t="s">
        <v>82</v>
      </c>
      <c r="J1216" t="s">
        <v>50</v>
      </c>
      <c r="K1216" t="s">
        <v>142</v>
      </c>
      <c r="L1216" t="s">
        <v>58</v>
      </c>
      <c r="M1216" t="s">
        <v>122</v>
      </c>
      <c r="N1216">
        <v>81</v>
      </c>
      <c r="O1216" t="s">
        <v>117</v>
      </c>
      <c r="P1216" s="11">
        <v>6600</v>
      </c>
      <c r="Q1216" t="s">
        <v>62</v>
      </c>
      <c r="R1216" s="11">
        <f t="shared" si="36"/>
        <v>6600</v>
      </c>
      <c r="S1216" t="str">
        <f t="shared" si="37"/>
        <v>One-Time</v>
      </c>
    </row>
    <row r="1217" spans="1:19" ht="15" customHeight="1" x14ac:dyDescent="0.3">
      <c r="A1217">
        <v>1216</v>
      </c>
      <c r="B1217" t="s">
        <v>1674</v>
      </c>
      <c r="C1217">
        <v>8172172</v>
      </c>
      <c r="D1217" t="s">
        <v>114</v>
      </c>
      <c r="E1217">
        <v>43</v>
      </c>
      <c r="F1217" t="s">
        <v>76</v>
      </c>
      <c r="G1217" s="10">
        <v>45505</v>
      </c>
      <c r="H1217" t="s">
        <v>44</v>
      </c>
      <c r="I1217" t="s">
        <v>82</v>
      </c>
      <c r="J1217" t="s">
        <v>50</v>
      </c>
      <c r="K1217" t="s">
        <v>115</v>
      </c>
      <c r="L1217" t="s">
        <v>58</v>
      </c>
      <c r="M1217" t="s">
        <v>122</v>
      </c>
      <c r="N1217">
        <v>24</v>
      </c>
      <c r="O1217" t="s">
        <v>117</v>
      </c>
      <c r="P1217" s="11">
        <v>6600</v>
      </c>
      <c r="Q1217" t="s">
        <v>1675</v>
      </c>
      <c r="R1217" s="11">
        <f t="shared" si="36"/>
        <v>6600</v>
      </c>
      <c r="S1217" t="str">
        <f t="shared" si="37"/>
        <v>One-Time</v>
      </c>
    </row>
    <row r="1218" spans="1:19" ht="15" customHeight="1" x14ac:dyDescent="0.3">
      <c r="A1218">
        <v>1217</v>
      </c>
      <c r="B1218" t="s">
        <v>1676</v>
      </c>
      <c r="C1218">
        <v>2616604</v>
      </c>
      <c r="D1218" t="s">
        <v>114</v>
      </c>
      <c r="E1218">
        <v>45</v>
      </c>
      <c r="F1218" t="s">
        <v>76</v>
      </c>
      <c r="G1218" s="10">
        <v>45506</v>
      </c>
      <c r="H1218" t="s">
        <v>44</v>
      </c>
      <c r="I1218" t="s">
        <v>83</v>
      </c>
      <c r="J1218" t="s">
        <v>50</v>
      </c>
      <c r="K1218" t="s">
        <v>115</v>
      </c>
      <c r="L1218" t="s">
        <v>58</v>
      </c>
      <c r="M1218" t="s">
        <v>122</v>
      </c>
      <c r="N1218">
        <v>56</v>
      </c>
      <c r="O1218" t="s">
        <v>117</v>
      </c>
      <c r="P1218" s="11">
        <v>6600</v>
      </c>
      <c r="Q1218" t="s">
        <v>1677</v>
      </c>
      <c r="R1218" s="11">
        <f t="shared" ref="R1218:R1281" si="38">IF(I1218="Delivered",P1218,0)</f>
        <v>0</v>
      </c>
      <c r="S1218" t="str">
        <f t="shared" ref="S1218:S1281" si="39">IF(COUNTIF($C$2:$C$1501,C1218)&gt;1,"Repeat","One-Time")</f>
        <v>One-Time</v>
      </c>
    </row>
    <row r="1219" spans="1:19" ht="15" customHeight="1" x14ac:dyDescent="0.3">
      <c r="A1219">
        <v>1218</v>
      </c>
      <c r="B1219" t="s">
        <v>1678</v>
      </c>
      <c r="C1219">
        <v>6767779</v>
      </c>
      <c r="D1219" t="s">
        <v>114</v>
      </c>
      <c r="E1219">
        <v>23</v>
      </c>
      <c r="F1219" t="s">
        <v>75</v>
      </c>
      <c r="G1219" s="10">
        <v>45507</v>
      </c>
      <c r="H1219" t="s">
        <v>44</v>
      </c>
      <c r="I1219" t="s">
        <v>82</v>
      </c>
      <c r="J1219" t="s">
        <v>50</v>
      </c>
      <c r="K1219" t="s">
        <v>115</v>
      </c>
      <c r="L1219" t="s">
        <v>58</v>
      </c>
      <c r="M1219" t="s">
        <v>122</v>
      </c>
      <c r="N1219">
        <v>55</v>
      </c>
      <c r="O1219" t="s">
        <v>117</v>
      </c>
      <c r="P1219" s="11">
        <v>6600</v>
      </c>
      <c r="Q1219" t="s">
        <v>1679</v>
      </c>
      <c r="R1219" s="11">
        <f t="shared" si="38"/>
        <v>6600</v>
      </c>
      <c r="S1219" t="str">
        <f t="shared" si="39"/>
        <v>One-Time</v>
      </c>
    </row>
    <row r="1220" spans="1:19" ht="15" customHeight="1" x14ac:dyDescent="0.3">
      <c r="A1220">
        <v>1219</v>
      </c>
      <c r="B1220" t="s">
        <v>1680</v>
      </c>
      <c r="C1220">
        <v>3501607</v>
      </c>
      <c r="D1220" t="s">
        <v>114</v>
      </c>
      <c r="E1220">
        <v>35</v>
      </c>
      <c r="F1220" t="s">
        <v>76</v>
      </c>
      <c r="G1220" s="10">
        <v>45508</v>
      </c>
      <c r="H1220" t="s">
        <v>44</v>
      </c>
      <c r="I1220" t="s">
        <v>82</v>
      </c>
      <c r="J1220" t="s">
        <v>50</v>
      </c>
      <c r="K1220" t="s">
        <v>115</v>
      </c>
      <c r="L1220" t="s">
        <v>58</v>
      </c>
      <c r="M1220" t="s">
        <v>122</v>
      </c>
      <c r="N1220">
        <v>5</v>
      </c>
      <c r="O1220" t="s">
        <v>117</v>
      </c>
      <c r="P1220" s="11">
        <v>6600</v>
      </c>
      <c r="Q1220" t="s">
        <v>1681</v>
      </c>
      <c r="R1220" s="11">
        <f t="shared" si="38"/>
        <v>6600</v>
      </c>
      <c r="S1220" t="str">
        <f t="shared" si="39"/>
        <v>One-Time</v>
      </c>
    </row>
    <row r="1221" spans="1:19" ht="15" customHeight="1" x14ac:dyDescent="0.3">
      <c r="A1221">
        <v>1220</v>
      </c>
      <c r="B1221" t="s">
        <v>1682</v>
      </c>
      <c r="C1221">
        <v>3838385</v>
      </c>
      <c r="D1221" t="s">
        <v>114</v>
      </c>
      <c r="E1221">
        <v>48</v>
      </c>
      <c r="F1221" t="s">
        <v>76</v>
      </c>
      <c r="G1221" s="10">
        <v>45509</v>
      </c>
      <c r="H1221" t="s">
        <v>44</v>
      </c>
      <c r="I1221" t="s">
        <v>82</v>
      </c>
      <c r="J1221" t="s">
        <v>50</v>
      </c>
      <c r="K1221" t="s">
        <v>115</v>
      </c>
      <c r="L1221" t="s">
        <v>58</v>
      </c>
      <c r="M1221" t="s">
        <v>122</v>
      </c>
      <c r="N1221">
        <v>4</v>
      </c>
      <c r="O1221" t="s">
        <v>117</v>
      </c>
      <c r="P1221" s="11">
        <v>6600</v>
      </c>
      <c r="Q1221" t="s">
        <v>69</v>
      </c>
      <c r="R1221" s="11">
        <f t="shared" si="38"/>
        <v>6600</v>
      </c>
      <c r="S1221" t="str">
        <f t="shared" si="39"/>
        <v>One-Time</v>
      </c>
    </row>
    <row r="1222" spans="1:19" ht="15" customHeight="1" x14ac:dyDescent="0.3">
      <c r="A1222">
        <v>1221</v>
      </c>
      <c r="B1222" t="s">
        <v>1683</v>
      </c>
      <c r="C1222">
        <v>6957650</v>
      </c>
      <c r="D1222" t="s">
        <v>114</v>
      </c>
      <c r="E1222">
        <v>22</v>
      </c>
      <c r="F1222" t="s">
        <v>75</v>
      </c>
      <c r="G1222" s="10">
        <v>45510</v>
      </c>
      <c r="H1222" t="s">
        <v>44</v>
      </c>
      <c r="I1222" t="s">
        <v>82</v>
      </c>
      <c r="J1222" t="s">
        <v>50</v>
      </c>
      <c r="K1222" t="s">
        <v>168</v>
      </c>
      <c r="L1222" t="s">
        <v>58</v>
      </c>
      <c r="M1222" t="s">
        <v>122</v>
      </c>
      <c r="N1222">
        <v>8</v>
      </c>
      <c r="O1222" t="s">
        <v>117</v>
      </c>
      <c r="P1222" s="11">
        <v>6600</v>
      </c>
      <c r="Q1222" t="s">
        <v>304</v>
      </c>
      <c r="R1222" s="11">
        <f t="shared" si="38"/>
        <v>6600</v>
      </c>
      <c r="S1222" t="str">
        <f t="shared" si="39"/>
        <v>One-Time</v>
      </c>
    </row>
    <row r="1223" spans="1:19" ht="15" customHeight="1" x14ac:dyDescent="0.3">
      <c r="A1223">
        <v>1222</v>
      </c>
      <c r="B1223" t="s">
        <v>1684</v>
      </c>
      <c r="C1223">
        <v>4245640</v>
      </c>
      <c r="D1223" t="s">
        <v>114</v>
      </c>
      <c r="E1223">
        <v>26</v>
      </c>
      <c r="F1223" t="s">
        <v>75</v>
      </c>
      <c r="G1223" s="10">
        <v>45511</v>
      </c>
      <c r="H1223" t="s">
        <v>44</v>
      </c>
      <c r="I1223" t="s">
        <v>82</v>
      </c>
      <c r="J1223" t="s">
        <v>50</v>
      </c>
      <c r="K1223" t="s">
        <v>168</v>
      </c>
      <c r="L1223" t="s">
        <v>58</v>
      </c>
      <c r="M1223" t="s">
        <v>122</v>
      </c>
      <c r="N1223">
        <v>7</v>
      </c>
      <c r="O1223" t="s">
        <v>117</v>
      </c>
      <c r="P1223" s="11">
        <v>6600</v>
      </c>
      <c r="Q1223" t="s">
        <v>66</v>
      </c>
      <c r="R1223" s="11">
        <f t="shared" si="38"/>
        <v>6600</v>
      </c>
      <c r="S1223" t="str">
        <f t="shared" si="39"/>
        <v>One-Time</v>
      </c>
    </row>
    <row r="1224" spans="1:19" ht="15" customHeight="1" x14ac:dyDescent="0.3">
      <c r="A1224">
        <v>1223</v>
      </c>
      <c r="B1224" t="s">
        <v>1685</v>
      </c>
      <c r="C1224">
        <v>3967649</v>
      </c>
      <c r="D1224" t="s">
        <v>114</v>
      </c>
      <c r="E1224">
        <v>20</v>
      </c>
      <c r="F1224" t="s">
        <v>75</v>
      </c>
      <c r="G1224" s="10">
        <v>45512</v>
      </c>
      <c r="H1224" t="s">
        <v>44</v>
      </c>
      <c r="I1224" t="s">
        <v>82</v>
      </c>
      <c r="J1224" t="s">
        <v>50</v>
      </c>
      <c r="K1224" t="s">
        <v>168</v>
      </c>
      <c r="L1224" t="s">
        <v>58</v>
      </c>
      <c r="M1224" t="s">
        <v>122</v>
      </c>
      <c r="N1224">
        <v>9</v>
      </c>
      <c r="O1224" t="s">
        <v>117</v>
      </c>
      <c r="P1224" s="11">
        <v>6900</v>
      </c>
      <c r="Q1224" t="s">
        <v>1633</v>
      </c>
      <c r="R1224" s="11">
        <f t="shared" si="38"/>
        <v>6900</v>
      </c>
      <c r="S1224" t="str">
        <f t="shared" si="39"/>
        <v>One-Time</v>
      </c>
    </row>
    <row r="1225" spans="1:19" ht="15" customHeight="1" x14ac:dyDescent="0.3">
      <c r="A1225">
        <v>1224</v>
      </c>
      <c r="B1225" t="s">
        <v>1686</v>
      </c>
      <c r="C1225">
        <v>4422587</v>
      </c>
      <c r="D1225" t="s">
        <v>392</v>
      </c>
      <c r="E1225">
        <v>26</v>
      </c>
      <c r="F1225" t="s">
        <v>75</v>
      </c>
      <c r="G1225" s="10">
        <v>45513</v>
      </c>
      <c r="H1225" t="s">
        <v>44</v>
      </c>
      <c r="I1225" t="s">
        <v>82</v>
      </c>
      <c r="J1225" t="s">
        <v>50</v>
      </c>
      <c r="K1225" t="s">
        <v>168</v>
      </c>
      <c r="L1225" t="s">
        <v>58</v>
      </c>
      <c r="M1225" t="s">
        <v>122</v>
      </c>
      <c r="N1225">
        <v>3</v>
      </c>
      <c r="O1225" t="s">
        <v>117</v>
      </c>
      <c r="P1225" s="11">
        <v>6900</v>
      </c>
      <c r="Q1225" t="s">
        <v>1687</v>
      </c>
      <c r="R1225" s="11">
        <f t="shared" si="38"/>
        <v>6900</v>
      </c>
      <c r="S1225" t="str">
        <f t="shared" si="39"/>
        <v>One-Time</v>
      </c>
    </row>
    <row r="1226" spans="1:19" ht="15" customHeight="1" x14ac:dyDescent="0.3">
      <c r="A1226">
        <v>1225</v>
      </c>
      <c r="B1226" t="s">
        <v>1688</v>
      </c>
      <c r="C1226">
        <v>5787329</v>
      </c>
      <c r="D1226" t="s">
        <v>392</v>
      </c>
      <c r="E1226">
        <v>47</v>
      </c>
      <c r="F1226" t="s">
        <v>76</v>
      </c>
      <c r="G1226" s="10">
        <v>45514</v>
      </c>
      <c r="H1226" t="s">
        <v>44</v>
      </c>
      <c r="I1226" t="s">
        <v>83</v>
      </c>
      <c r="J1226" t="s">
        <v>50</v>
      </c>
      <c r="K1226" t="s">
        <v>168</v>
      </c>
      <c r="L1226" t="s">
        <v>58</v>
      </c>
      <c r="M1226" t="s">
        <v>315</v>
      </c>
      <c r="N1226">
        <v>32</v>
      </c>
      <c r="O1226" t="s">
        <v>117</v>
      </c>
      <c r="P1226" s="11">
        <v>6900</v>
      </c>
      <c r="Q1226" t="s">
        <v>1159</v>
      </c>
      <c r="R1226" s="11">
        <f t="shared" si="38"/>
        <v>0</v>
      </c>
      <c r="S1226" t="str">
        <f t="shared" si="39"/>
        <v>One-Time</v>
      </c>
    </row>
    <row r="1227" spans="1:19" ht="15" customHeight="1" x14ac:dyDescent="0.3">
      <c r="A1227">
        <v>1226</v>
      </c>
      <c r="B1227" t="s">
        <v>1689</v>
      </c>
      <c r="C1227">
        <v>2485892</v>
      </c>
      <c r="D1227" t="s">
        <v>114</v>
      </c>
      <c r="E1227">
        <v>38</v>
      </c>
      <c r="F1227" t="s">
        <v>76</v>
      </c>
      <c r="G1227" s="10">
        <v>45515</v>
      </c>
      <c r="H1227" t="s">
        <v>44</v>
      </c>
      <c r="I1227" t="s">
        <v>82</v>
      </c>
      <c r="J1227" t="s">
        <v>50</v>
      </c>
      <c r="K1227" t="s">
        <v>168</v>
      </c>
      <c r="L1227" t="s">
        <v>58</v>
      </c>
      <c r="M1227" t="s">
        <v>315</v>
      </c>
      <c r="N1227">
        <v>65</v>
      </c>
      <c r="O1227" t="s">
        <v>117</v>
      </c>
      <c r="P1227" s="11">
        <v>6900</v>
      </c>
      <c r="Q1227" t="s">
        <v>62</v>
      </c>
      <c r="R1227" s="11">
        <f t="shared" si="38"/>
        <v>6900</v>
      </c>
      <c r="S1227" t="str">
        <f t="shared" si="39"/>
        <v>One-Time</v>
      </c>
    </row>
    <row r="1228" spans="1:19" ht="15" customHeight="1" x14ac:dyDescent="0.3">
      <c r="A1228">
        <v>1227</v>
      </c>
      <c r="B1228" t="s">
        <v>1690</v>
      </c>
      <c r="C1228">
        <v>8503995</v>
      </c>
      <c r="D1228" t="s">
        <v>392</v>
      </c>
      <c r="E1228">
        <v>22</v>
      </c>
      <c r="F1228" t="s">
        <v>75</v>
      </c>
      <c r="G1228" s="10">
        <v>45516</v>
      </c>
      <c r="H1228" t="s">
        <v>44</v>
      </c>
      <c r="I1228" t="s">
        <v>82</v>
      </c>
      <c r="J1228" t="s">
        <v>50</v>
      </c>
      <c r="K1228" t="s">
        <v>168</v>
      </c>
      <c r="L1228" t="s">
        <v>58</v>
      </c>
      <c r="M1228" t="s">
        <v>315</v>
      </c>
      <c r="N1228">
        <v>4</v>
      </c>
      <c r="O1228" t="s">
        <v>117</v>
      </c>
      <c r="P1228" s="11">
        <v>6900</v>
      </c>
      <c r="Q1228" t="s">
        <v>65</v>
      </c>
      <c r="R1228" s="11">
        <f t="shared" si="38"/>
        <v>6900</v>
      </c>
      <c r="S1228" t="str">
        <f t="shared" si="39"/>
        <v>One-Time</v>
      </c>
    </row>
    <row r="1229" spans="1:19" ht="15" customHeight="1" x14ac:dyDescent="0.3">
      <c r="A1229">
        <v>1228</v>
      </c>
      <c r="B1229" t="s">
        <v>1691</v>
      </c>
      <c r="C1229">
        <v>6087504</v>
      </c>
      <c r="D1229" t="s">
        <v>114</v>
      </c>
      <c r="E1229">
        <v>35</v>
      </c>
      <c r="F1229" t="s">
        <v>76</v>
      </c>
      <c r="G1229" s="10">
        <v>45517</v>
      </c>
      <c r="H1229" t="s">
        <v>44</v>
      </c>
      <c r="I1229" t="s">
        <v>83</v>
      </c>
      <c r="J1229" t="s">
        <v>50</v>
      </c>
      <c r="K1229" t="s">
        <v>168</v>
      </c>
      <c r="L1229" t="s">
        <v>58</v>
      </c>
      <c r="M1229" t="s">
        <v>315</v>
      </c>
      <c r="N1229">
        <v>1</v>
      </c>
      <c r="O1229" t="s">
        <v>117</v>
      </c>
      <c r="P1229" s="11">
        <v>6900</v>
      </c>
      <c r="Q1229" t="s">
        <v>67</v>
      </c>
      <c r="R1229" s="11">
        <f t="shared" si="38"/>
        <v>0</v>
      </c>
      <c r="S1229" t="str">
        <f t="shared" si="39"/>
        <v>One-Time</v>
      </c>
    </row>
    <row r="1230" spans="1:19" ht="15" customHeight="1" x14ac:dyDescent="0.3">
      <c r="A1230">
        <v>1229</v>
      </c>
      <c r="B1230" t="s">
        <v>1692</v>
      </c>
      <c r="C1230">
        <v>4199509</v>
      </c>
      <c r="D1230" t="s">
        <v>114</v>
      </c>
      <c r="E1230">
        <v>46</v>
      </c>
      <c r="F1230" t="s">
        <v>76</v>
      </c>
      <c r="G1230" s="10">
        <v>45518</v>
      </c>
      <c r="H1230" t="s">
        <v>44</v>
      </c>
      <c r="I1230" t="s">
        <v>82</v>
      </c>
      <c r="J1230" t="s">
        <v>50</v>
      </c>
      <c r="K1230" t="s">
        <v>168</v>
      </c>
      <c r="L1230" t="s">
        <v>58</v>
      </c>
      <c r="M1230" t="s">
        <v>315</v>
      </c>
      <c r="N1230">
        <v>47</v>
      </c>
      <c r="O1230" t="s">
        <v>117</v>
      </c>
      <c r="P1230" s="11">
        <v>6900</v>
      </c>
      <c r="Q1230" t="s">
        <v>63</v>
      </c>
      <c r="R1230" s="11">
        <f t="shared" si="38"/>
        <v>6900</v>
      </c>
      <c r="S1230" t="str">
        <f t="shared" si="39"/>
        <v>One-Time</v>
      </c>
    </row>
    <row r="1231" spans="1:19" ht="15" customHeight="1" x14ac:dyDescent="0.3">
      <c r="A1231">
        <v>1230</v>
      </c>
      <c r="B1231" t="s">
        <v>1693</v>
      </c>
      <c r="C1231">
        <v>3985944</v>
      </c>
      <c r="D1231" t="s">
        <v>114</v>
      </c>
      <c r="E1231">
        <v>41</v>
      </c>
      <c r="F1231" t="s">
        <v>76</v>
      </c>
      <c r="G1231" s="10">
        <v>45507</v>
      </c>
      <c r="H1231" t="s">
        <v>44</v>
      </c>
      <c r="I1231" t="s">
        <v>82</v>
      </c>
      <c r="J1231" t="s">
        <v>50</v>
      </c>
      <c r="K1231" t="s">
        <v>182</v>
      </c>
      <c r="L1231" t="s">
        <v>58</v>
      </c>
      <c r="M1231" t="s">
        <v>315</v>
      </c>
      <c r="N1231">
        <v>3</v>
      </c>
      <c r="O1231" t="s">
        <v>117</v>
      </c>
      <c r="P1231" s="11">
        <v>6900</v>
      </c>
      <c r="Q1231" t="s">
        <v>790</v>
      </c>
      <c r="R1231" s="11">
        <f t="shared" si="38"/>
        <v>6900</v>
      </c>
      <c r="S1231" t="str">
        <f t="shared" si="39"/>
        <v>One-Time</v>
      </c>
    </row>
    <row r="1232" spans="1:19" ht="15" customHeight="1" x14ac:dyDescent="0.3">
      <c r="A1232">
        <v>1231</v>
      </c>
      <c r="B1232" t="s">
        <v>1694</v>
      </c>
      <c r="C1232">
        <v>1025273</v>
      </c>
      <c r="D1232" t="s">
        <v>114</v>
      </c>
      <c r="E1232">
        <v>22</v>
      </c>
      <c r="F1232" t="s">
        <v>75</v>
      </c>
      <c r="G1232" s="10">
        <v>45295</v>
      </c>
      <c r="H1232" t="s">
        <v>37</v>
      </c>
      <c r="I1232" t="s">
        <v>82</v>
      </c>
      <c r="J1232" t="s">
        <v>50</v>
      </c>
      <c r="K1232" t="s">
        <v>182</v>
      </c>
      <c r="L1232" t="s">
        <v>58</v>
      </c>
      <c r="M1232" t="s">
        <v>315</v>
      </c>
      <c r="N1232">
        <v>4</v>
      </c>
      <c r="O1232" t="s">
        <v>117</v>
      </c>
      <c r="P1232" s="11">
        <v>6900</v>
      </c>
      <c r="Q1232" t="s">
        <v>65</v>
      </c>
      <c r="R1232" s="11">
        <f t="shared" si="38"/>
        <v>6900</v>
      </c>
      <c r="S1232" t="str">
        <f t="shared" si="39"/>
        <v>One-Time</v>
      </c>
    </row>
    <row r="1233" spans="1:19" ht="15" customHeight="1" x14ac:dyDescent="0.3">
      <c r="A1233">
        <v>1232</v>
      </c>
      <c r="B1233" t="s">
        <v>1695</v>
      </c>
      <c r="C1233">
        <v>9225888</v>
      </c>
      <c r="D1233" t="s">
        <v>114</v>
      </c>
      <c r="E1233">
        <v>23</v>
      </c>
      <c r="F1233" t="s">
        <v>75</v>
      </c>
      <c r="G1233" s="10">
        <v>45296</v>
      </c>
      <c r="H1233" t="s">
        <v>37</v>
      </c>
      <c r="I1233" t="s">
        <v>82</v>
      </c>
      <c r="J1233" t="s">
        <v>50</v>
      </c>
      <c r="K1233" t="s">
        <v>182</v>
      </c>
      <c r="L1233" t="s">
        <v>58</v>
      </c>
      <c r="M1233" t="s">
        <v>315</v>
      </c>
      <c r="N1233">
        <v>4</v>
      </c>
      <c r="O1233" t="s">
        <v>117</v>
      </c>
      <c r="P1233" s="11">
        <v>6900</v>
      </c>
      <c r="Q1233" t="s">
        <v>62</v>
      </c>
      <c r="R1233" s="11">
        <f t="shared" si="38"/>
        <v>6900</v>
      </c>
      <c r="S1233" t="str">
        <f t="shared" si="39"/>
        <v>One-Time</v>
      </c>
    </row>
    <row r="1234" spans="1:19" ht="15" customHeight="1" x14ac:dyDescent="0.3">
      <c r="A1234">
        <v>1233</v>
      </c>
      <c r="B1234" t="s">
        <v>1696</v>
      </c>
      <c r="C1234">
        <v>9109452</v>
      </c>
      <c r="D1234" t="s">
        <v>114</v>
      </c>
      <c r="E1234">
        <v>38</v>
      </c>
      <c r="F1234" t="s">
        <v>76</v>
      </c>
      <c r="G1234" s="10">
        <v>45297</v>
      </c>
      <c r="H1234" t="s">
        <v>37</v>
      </c>
      <c r="I1234" t="s">
        <v>82</v>
      </c>
      <c r="J1234" t="s">
        <v>50</v>
      </c>
      <c r="K1234" t="s">
        <v>182</v>
      </c>
      <c r="L1234" t="s">
        <v>58</v>
      </c>
      <c r="M1234" t="s">
        <v>315</v>
      </c>
      <c r="N1234">
        <v>9</v>
      </c>
      <c r="O1234" t="s">
        <v>117</v>
      </c>
      <c r="P1234" s="11">
        <v>6900</v>
      </c>
      <c r="Q1234" t="s">
        <v>1697</v>
      </c>
      <c r="R1234" s="11">
        <f t="shared" si="38"/>
        <v>6900</v>
      </c>
      <c r="S1234" t="str">
        <f t="shared" si="39"/>
        <v>One-Time</v>
      </c>
    </row>
    <row r="1235" spans="1:19" ht="15" customHeight="1" x14ac:dyDescent="0.3">
      <c r="A1235">
        <v>1234</v>
      </c>
      <c r="B1235" t="s">
        <v>1698</v>
      </c>
      <c r="C1235">
        <v>9160131</v>
      </c>
      <c r="D1235" t="s">
        <v>114</v>
      </c>
      <c r="E1235">
        <v>35</v>
      </c>
      <c r="F1235" t="s">
        <v>76</v>
      </c>
      <c r="G1235" s="10">
        <v>45298</v>
      </c>
      <c r="H1235" t="s">
        <v>37</v>
      </c>
      <c r="I1235" t="s">
        <v>82</v>
      </c>
      <c r="J1235" t="s">
        <v>50</v>
      </c>
      <c r="K1235" t="s">
        <v>182</v>
      </c>
      <c r="L1235" t="s">
        <v>58</v>
      </c>
      <c r="M1235" t="s">
        <v>315</v>
      </c>
      <c r="N1235">
        <v>8</v>
      </c>
      <c r="O1235" t="s">
        <v>117</v>
      </c>
      <c r="P1235" s="11">
        <v>6900</v>
      </c>
      <c r="Q1235" t="s">
        <v>1576</v>
      </c>
      <c r="R1235" s="11">
        <f t="shared" si="38"/>
        <v>6900</v>
      </c>
      <c r="S1235" t="str">
        <f t="shared" si="39"/>
        <v>One-Time</v>
      </c>
    </row>
    <row r="1236" spans="1:19" ht="15" customHeight="1" x14ac:dyDescent="0.3">
      <c r="A1236">
        <v>1235</v>
      </c>
      <c r="B1236" t="s">
        <v>1699</v>
      </c>
      <c r="C1236">
        <v>7287435</v>
      </c>
      <c r="D1236" t="s">
        <v>114</v>
      </c>
      <c r="E1236">
        <v>36</v>
      </c>
      <c r="F1236" t="s">
        <v>76</v>
      </c>
      <c r="G1236" s="10">
        <v>45299</v>
      </c>
      <c r="H1236" t="s">
        <v>37</v>
      </c>
      <c r="I1236" t="s">
        <v>82</v>
      </c>
      <c r="J1236" t="s">
        <v>50</v>
      </c>
      <c r="K1236" t="s">
        <v>182</v>
      </c>
      <c r="L1236" t="s">
        <v>58</v>
      </c>
      <c r="M1236" t="s">
        <v>315</v>
      </c>
      <c r="N1236">
        <v>3</v>
      </c>
      <c r="O1236" t="s">
        <v>117</v>
      </c>
      <c r="P1236" s="11">
        <v>6900</v>
      </c>
      <c r="Q1236" t="s">
        <v>66</v>
      </c>
      <c r="R1236" s="11">
        <f t="shared" si="38"/>
        <v>6900</v>
      </c>
      <c r="S1236" t="str">
        <f t="shared" si="39"/>
        <v>One-Time</v>
      </c>
    </row>
    <row r="1237" spans="1:19" ht="15" customHeight="1" x14ac:dyDescent="0.3">
      <c r="A1237">
        <v>1236</v>
      </c>
      <c r="B1237" t="s">
        <v>1700</v>
      </c>
      <c r="C1237">
        <v>5480727</v>
      </c>
      <c r="D1237" t="s">
        <v>114</v>
      </c>
      <c r="E1237">
        <v>18</v>
      </c>
      <c r="F1237" t="s">
        <v>75</v>
      </c>
      <c r="G1237" s="10">
        <v>45300</v>
      </c>
      <c r="H1237" t="s">
        <v>37</v>
      </c>
      <c r="I1237" t="s">
        <v>82</v>
      </c>
      <c r="J1237" t="s">
        <v>50</v>
      </c>
      <c r="K1237" t="s">
        <v>182</v>
      </c>
      <c r="L1237" t="s">
        <v>58</v>
      </c>
      <c r="M1237" t="s">
        <v>315</v>
      </c>
      <c r="N1237">
        <v>6</v>
      </c>
      <c r="O1237" t="s">
        <v>117</v>
      </c>
      <c r="P1237" s="11">
        <v>6900</v>
      </c>
      <c r="Q1237" t="s">
        <v>65</v>
      </c>
      <c r="R1237" s="11">
        <f t="shared" si="38"/>
        <v>6900</v>
      </c>
      <c r="S1237" t="str">
        <f t="shared" si="39"/>
        <v>One-Time</v>
      </c>
    </row>
    <row r="1238" spans="1:19" ht="15" customHeight="1" x14ac:dyDescent="0.3">
      <c r="A1238">
        <v>1237</v>
      </c>
      <c r="B1238" t="s">
        <v>1701</v>
      </c>
      <c r="C1238">
        <v>2447093</v>
      </c>
      <c r="D1238" t="s">
        <v>114</v>
      </c>
      <c r="E1238">
        <v>54</v>
      </c>
      <c r="F1238" t="s">
        <v>77</v>
      </c>
      <c r="G1238" s="10">
        <v>45301</v>
      </c>
      <c r="H1238" t="s">
        <v>37</v>
      </c>
      <c r="I1238" t="s">
        <v>82</v>
      </c>
      <c r="J1238" t="s">
        <v>50</v>
      </c>
      <c r="K1238" t="s">
        <v>182</v>
      </c>
      <c r="L1238" t="s">
        <v>58</v>
      </c>
      <c r="M1238" t="s">
        <v>315</v>
      </c>
      <c r="N1238">
        <v>9</v>
      </c>
      <c r="O1238" t="s">
        <v>117</v>
      </c>
      <c r="P1238" s="11">
        <v>6900</v>
      </c>
      <c r="Q1238" t="s">
        <v>65</v>
      </c>
      <c r="R1238" s="11">
        <f t="shared" si="38"/>
        <v>6900</v>
      </c>
      <c r="S1238" t="str">
        <f t="shared" si="39"/>
        <v>One-Time</v>
      </c>
    </row>
    <row r="1239" spans="1:19" ht="15" customHeight="1" x14ac:dyDescent="0.3">
      <c r="A1239">
        <v>1238</v>
      </c>
      <c r="B1239" t="s">
        <v>1702</v>
      </c>
      <c r="C1239">
        <v>1706520</v>
      </c>
      <c r="D1239" t="s">
        <v>114</v>
      </c>
      <c r="E1239">
        <v>40</v>
      </c>
      <c r="F1239" t="s">
        <v>76</v>
      </c>
      <c r="G1239" s="10">
        <v>45302</v>
      </c>
      <c r="H1239" t="s">
        <v>37</v>
      </c>
      <c r="I1239" t="s">
        <v>82</v>
      </c>
      <c r="J1239" t="s">
        <v>50</v>
      </c>
      <c r="K1239" t="s">
        <v>184</v>
      </c>
      <c r="L1239" t="s">
        <v>58</v>
      </c>
      <c r="M1239" t="s">
        <v>315</v>
      </c>
      <c r="N1239">
        <v>2</v>
      </c>
      <c r="O1239" t="s">
        <v>117</v>
      </c>
      <c r="P1239" s="11">
        <v>6900</v>
      </c>
      <c r="Q1239" t="s">
        <v>325</v>
      </c>
      <c r="R1239" s="11">
        <f t="shared" si="38"/>
        <v>6900</v>
      </c>
      <c r="S1239" t="str">
        <f t="shared" si="39"/>
        <v>One-Time</v>
      </c>
    </row>
    <row r="1240" spans="1:19" ht="15" customHeight="1" x14ac:dyDescent="0.3">
      <c r="A1240">
        <v>1239</v>
      </c>
      <c r="B1240" t="s">
        <v>1703</v>
      </c>
      <c r="C1240">
        <v>2008379</v>
      </c>
      <c r="D1240" t="s">
        <v>114</v>
      </c>
      <c r="E1240">
        <v>41</v>
      </c>
      <c r="F1240" t="s">
        <v>76</v>
      </c>
      <c r="G1240" s="10">
        <v>45303</v>
      </c>
      <c r="H1240" t="s">
        <v>37</v>
      </c>
      <c r="I1240" t="s">
        <v>82</v>
      </c>
      <c r="J1240" t="s">
        <v>50</v>
      </c>
      <c r="K1240" t="s">
        <v>184</v>
      </c>
      <c r="L1240" t="s">
        <v>58</v>
      </c>
      <c r="M1240" t="s">
        <v>315</v>
      </c>
      <c r="N1240">
        <v>5</v>
      </c>
      <c r="O1240" t="s">
        <v>117</v>
      </c>
      <c r="P1240" s="11">
        <v>6900</v>
      </c>
      <c r="Q1240" t="s">
        <v>62</v>
      </c>
      <c r="R1240" s="11">
        <f t="shared" si="38"/>
        <v>6900</v>
      </c>
      <c r="S1240" t="str">
        <f t="shared" si="39"/>
        <v>One-Time</v>
      </c>
    </row>
    <row r="1241" spans="1:19" ht="15" customHeight="1" x14ac:dyDescent="0.3">
      <c r="A1241">
        <v>1240</v>
      </c>
      <c r="B1241" t="s">
        <v>1704</v>
      </c>
      <c r="C1241">
        <v>6342847</v>
      </c>
      <c r="D1241" t="s">
        <v>114</v>
      </c>
      <c r="E1241">
        <v>39</v>
      </c>
      <c r="F1241" t="s">
        <v>76</v>
      </c>
      <c r="G1241" s="10">
        <v>45304</v>
      </c>
      <c r="H1241" t="s">
        <v>37</v>
      </c>
      <c r="I1241" t="s">
        <v>82</v>
      </c>
      <c r="J1241" t="s">
        <v>50</v>
      </c>
      <c r="K1241" t="s">
        <v>184</v>
      </c>
      <c r="L1241" t="s">
        <v>58</v>
      </c>
      <c r="M1241" t="s">
        <v>315</v>
      </c>
      <c r="N1241">
        <v>6</v>
      </c>
      <c r="O1241" t="s">
        <v>117</v>
      </c>
      <c r="P1241" s="11">
        <v>6900</v>
      </c>
      <c r="Q1241" t="s">
        <v>71</v>
      </c>
      <c r="R1241" s="11">
        <f t="shared" si="38"/>
        <v>6900</v>
      </c>
      <c r="S1241" t="str">
        <f t="shared" si="39"/>
        <v>One-Time</v>
      </c>
    </row>
    <row r="1242" spans="1:19" ht="15" customHeight="1" x14ac:dyDescent="0.3">
      <c r="A1242">
        <v>1241</v>
      </c>
      <c r="B1242" t="s">
        <v>1705</v>
      </c>
      <c r="C1242">
        <v>144548</v>
      </c>
      <c r="D1242" t="s">
        <v>114</v>
      </c>
      <c r="E1242">
        <v>37</v>
      </c>
      <c r="F1242" t="s">
        <v>76</v>
      </c>
      <c r="G1242" s="10">
        <v>45305</v>
      </c>
      <c r="H1242" t="s">
        <v>37</v>
      </c>
      <c r="I1242" t="s">
        <v>82</v>
      </c>
      <c r="J1242" t="s">
        <v>50</v>
      </c>
      <c r="K1242" t="s">
        <v>184</v>
      </c>
      <c r="L1242" t="s">
        <v>58</v>
      </c>
      <c r="M1242" t="s">
        <v>315</v>
      </c>
      <c r="N1242">
        <v>9</v>
      </c>
      <c r="O1242" t="s">
        <v>117</v>
      </c>
      <c r="P1242" s="11">
        <v>6900</v>
      </c>
      <c r="Q1242" t="s">
        <v>70</v>
      </c>
      <c r="R1242" s="11">
        <f t="shared" si="38"/>
        <v>6900</v>
      </c>
      <c r="S1242" t="str">
        <f t="shared" si="39"/>
        <v>One-Time</v>
      </c>
    </row>
    <row r="1243" spans="1:19" ht="15" customHeight="1" x14ac:dyDescent="0.3">
      <c r="A1243">
        <v>1242</v>
      </c>
      <c r="B1243" t="s">
        <v>1706</v>
      </c>
      <c r="C1243">
        <v>4480208</v>
      </c>
      <c r="D1243" t="s">
        <v>114</v>
      </c>
      <c r="E1243">
        <v>57</v>
      </c>
      <c r="F1243" t="s">
        <v>77</v>
      </c>
      <c r="G1243" s="10">
        <v>45306</v>
      </c>
      <c r="H1243" t="s">
        <v>37</v>
      </c>
      <c r="I1243" t="s">
        <v>82</v>
      </c>
      <c r="J1243" t="s">
        <v>50</v>
      </c>
      <c r="K1243" t="s">
        <v>184</v>
      </c>
      <c r="L1243" t="s">
        <v>58</v>
      </c>
      <c r="M1243" t="s">
        <v>315</v>
      </c>
      <c r="N1243">
        <v>7</v>
      </c>
      <c r="O1243" t="s">
        <v>117</v>
      </c>
      <c r="P1243" s="11">
        <v>6900</v>
      </c>
      <c r="Q1243" t="s">
        <v>652</v>
      </c>
      <c r="R1243" s="11">
        <f t="shared" si="38"/>
        <v>6900</v>
      </c>
      <c r="S1243" t="str">
        <f t="shared" si="39"/>
        <v>One-Time</v>
      </c>
    </row>
    <row r="1244" spans="1:19" ht="15" customHeight="1" x14ac:dyDescent="0.3">
      <c r="A1244">
        <v>1243</v>
      </c>
      <c r="B1244" t="s">
        <v>1707</v>
      </c>
      <c r="C1244">
        <v>452328</v>
      </c>
      <c r="D1244" t="s">
        <v>114</v>
      </c>
      <c r="E1244">
        <v>20</v>
      </c>
      <c r="F1244" t="s">
        <v>75</v>
      </c>
      <c r="G1244" s="10">
        <v>45307</v>
      </c>
      <c r="H1244" t="s">
        <v>37</v>
      </c>
      <c r="I1244" t="s">
        <v>82</v>
      </c>
      <c r="J1244" t="s">
        <v>50</v>
      </c>
      <c r="K1244" t="s">
        <v>184</v>
      </c>
      <c r="L1244" t="s">
        <v>58</v>
      </c>
      <c r="M1244" t="s">
        <v>315</v>
      </c>
      <c r="N1244">
        <v>81</v>
      </c>
      <c r="O1244" t="s">
        <v>117</v>
      </c>
      <c r="P1244" s="11">
        <v>6900</v>
      </c>
      <c r="Q1244" t="s">
        <v>69</v>
      </c>
      <c r="R1244" s="11">
        <f t="shared" si="38"/>
        <v>6900</v>
      </c>
      <c r="S1244" t="str">
        <f t="shared" si="39"/>
        <v>One-Time</v>
      </c>
    </row>
    <row r="1245" spans="1:19" ht="15" customHeight="1" x14ac:dyDescent="0.3">
      <c r="A1245">
        <v>1244</v>
      </c>
      <c r="B1245" t="s">
        <v>1708</v>
      </c>
      <c r="C1245">
        <v>7027004</v>
      </c>
      <c r="D1245" t="s">
        <v>114</v>
      </c>
      <c r="E1245">
        <v>32</v>
      </c>
      <c r="F1245" t="s">
        <v>76</v>
      </c>
      <c r="G1245" s="10">
        <v>45308</v>
      </c>
      <c r="H1245" t="s">
        <v>37</v>
      </c>
      <c r="I1245" t="s">
        <v>82</v>
      </c>
      <c r="J1245" t="s">
        <v>50</v>
      </c>
      <c r="K1245" t="s">
        <v>184</v>
      </c>
      <c r="L1245" t="s">
        <v>58</v>
      </c>
      <c r="M1245" t="s">
        <v>315</v>
      </c>
      <c r="N1245">
        <v>24</v>
      </c>
      <c r="O1245" t="s">
        <v>117</v>
      </c>
      <c r="P1245" s="11">
        <v>6300</v>
      </c>
      <c r="Q1245" t="s">
        <v>552</v>
      </c>
      <c r="R1245" s="11">
        <f t="shared" si="38"/>
        <v>6300</v>
      </c>
      <c r="S1245" t="str">
        <f t="shared" si="39"/>
        <v>One-Time</v>
      </c>
    </row>
    <row r="1246" spans="1:19" ht="15" customHeight="1" x14ac:dyDescent="0.3">
      <c r="A1246">
        <v>1245</v>
      </c>
      <c r="B1246" t="s">
        <v>1709</v>
      </c>
      <c r="C1246">
        <v>4639579</v>
      </c>
      <c r="D1246" t="s">
        <v>114</v>
      </c>
      <c r="E1246">
        <v>77</v>
      </c>
      <c r="F1246" t="s">
        <v>77</v>
      </c>
      <c r="G1246" s="10">
        <v>45309</v>
      </c>
      <c r="H1246" t="s">
        <v>37</v>
      </c>
      <c r="I1246" t="s">
        <v>82</v>
      </c>
      <c r="J1246" t="s">
        <v>50</v>
      </c>
      <c r="K1246" t="s">
        <v>184</v>
      </c>
      <c r="L1246" t="s">
        <v>59</v>
      </c>
      <c r="M1246" t="s">
        <v>315</v>
      </c>
      <c r="N1246">
        <v>56</v>
      </c>
      <c r="O1246" t="s">
        <v>117</v>
      </c>
      <c r="P1246" s="11">
        <v>6300</v>
      </c>
      <c r="Q1246" t="s">
        <v>348</v>
      </c>
      <c r="R1246" s="11">
        <f t="shared" si="38"/>
        <v>6300</v>
      </c>
      <c r="S1246" t="str">
        <f t="shared" si="39"/>
        <v>One-Time</v>
      </c>
    </row>
    <row r="1247" spans="1:19" ht="15" customHeight="1" x14ac:dyDescent="0.3">
      <c r="A1247">
        <v>1246</v>
      </c>
      <c r="B1247" t="s">
        <v>1710</v>
      </c>
      <c r="C1247">
        <v>8192502</v>
      </c>
      <c r="D1247" t="s">
        <v>114</v>
      </c>
      <c r="E1247">
        <v>39</v>
      </c>
      <c r="F1247" t="s">
        <v>76</v>
      </c>
      <c r="G1247" s="10">
        <v>45310</v>
      </c>
      <c r="H1247" t="s">
        <v>37</v>
      </c>
      <c r="I1247" t="s">
        <v>82</v>
      </c>
      <c r="J1247" t="s">
        <v>50</v>
      </c>
      <c r="K1247" t="s">
        <v>184</v>
      </c>
      <c r="L1247" t="s">
        <v>59</v>
      </c>
      <c r="M1247" t="s">
        <v>315</v>
      </c>
      <c r="N1247">
        <v>55</v>
      </c>
      <c r="O1247" t="s">
        <v>117</v>
      </c>
      <c r="P1247" s="11">
        <v>6300</v>
      </c>
      <c r="Q1247" t="s">
        <v>62</v>
      </c>
      <c r="R1247" s="11">
        <f t="shared" si="38"/>
        <v>6300</v>
      </c>
      <c r="S1247" t="str">
        <f t="shared" si="39"/>
        <v>One-Time</v>
      </c>
    </row>
    <row r="1248" spans="1:19" ht="15" customHeight="1" x14ac:dyDescent="0.3">
      <c r="A1248">
        <v>1247</v>
      </c>
      <c r="B1248" t="s">
        <v>1711</v>
      </c>
      <c r="C1248">
        <v>1073898</v>
      </c>
      <c r="D1248" t="s">
        <v>114</v>
      </c>
      <c r="E1248">
        <v>51</v>
      </c>
      <c r="F1248" t="s">
        <v>77</v>
      </c>
      <c r="G1248" s="10">
        <v>45326</v>
      </c>
      <c r="H1248" t="s">
        <v>38</v>
      </c>
      <c r="I1248" t="s">
        <v>82</v>
      </c>
      <c r="J1248" t="s">
        <v>50</v>
      </c>
      <c r="K1248" t="s">
        <v>184</v>
      </c>
      <c r="L1248" t="s">
        <v>59</v>
      </c>
      <c r="M1248" t="s">
        <v>315</v>
      </c>
      <c r="N1248">
        <v>5</v>
      </c>
      <c r="O1248" t="s">
        <v>117</v>
      </c>
      <c r="P1248" s="11">
        <v>6300</v>
      </c>
      <c r="Q1248" t="s">
        <v>65</v>
      </c>
      <c r="R1248" s="11">
        <f t="shared" si="38"/>
        <v>6300</v>
      </c>
      <c r="S1248" t="str">
        <f t="shared" si="39"/>
        <v>One-Time</v>
      </c>
    </row>
    <row r="1249" spans="1:19" ht="15" customHeight="1" x14ac:dyDescent="0.3">
      <c r="A1249">
        <v>1248</v>
      </c>
      <c r="B1249" t="s">
        <v>1712</v>
      </c>
      <c r="C1249">
        <v>8105776</v>
      </c>
      <c r="D1249" t="s">
        <v>114</v>
      </c>
      <c r="E1249">
        <v>25</v>
      </c>
      <c r="F1249" t="s">
        <v>75</v>
      </c>
      <c r="G1249" s="10">
        <v>45326</v>
      </c>
      <c r="H1249" t="s">
        <v>38</v>
      </c>
      <c r="I1249" t="s">
        <v>82</v>
      </c>
      <c r="J1249" t="s">
        <v>50</v>
      </c>
      <c r="K1249" t="s">
        <v>184</v>
      </c>
      <c r="L1249" t="s">
        <v>59</v>
      </c>
      <c r="M1249" t="s">
        <v>315</v>
      </c>
      <c r="N1249">
        <v>4</v>
      </c>
      <c r="O1249" t="s">
        <v>117</v>
      </c>
      <c r="P1249" s="11">
        <v>6300</v>
      </c>
      <c r="Q1249" t="s">
        <v>1366</v>
      </c>
      <c r="R1249" s="11">
        <f t="shared" si="38"/>
        <v>6300</v>
      </c>
      <c r="S1249" t="str">
        <f t="shared" si="39"/>
        <v>One-Time</v>
      </c>
    </row>
    <row r="1250" spans="1:19" ht="15" customHeight="1" x14ac:dyDescent="0.3">
      <c r="A1250">
        <v>1249</v>
      </c>
      <c r="B1250" t="s">
        <v>1713</v>
      </c>
      <c r="C1250">
        <v>4108433</v>
      </c>
      <c r="D1250" t="s">
        <v>114</v>
      </c>
      <c r="E1250">
        <v>38</v>
      </c>
      <c r="F1250" t="s">
        <v>76</v>
      </c>
      <c r="G1250" s="10">
        <v>45326</v>
      </c>
      <c r="H1250" t="s">
        <v>38</v>
      </c>
      <c r="I1250" t="s">
        <v>83</v>
      </c>
      <c r="J1250" t="s">
        <v>50</v>
      </c>
      <c r="K1250" t="s">
        <v>184</v>
      </c>
      <c r="L1250" t="s">
        <v>59</v>
      </c>
      <c r="M1250" t="s">
        <v>315</v>
      </c>
      <c r="N1250">
        <v>8</v>
      </c>
      <c r="O1250" t="s">
        <v>117</v>
      </c>
      <c r="P1250" s="11">
        <v>6300</v>
      </c>
      <c r="Q1250" t="s">
        <v>71</v>
      </c>
      <c r="R1250" s="11">
        <f t="shared" si="38"/>
        <v>0</v>
      </c>
      <c r="S1250" t="str">
        <f t="shared" si="39"/>
        <v>One-Time</v>
      </c>
    </row>
    <row r="1251" spans="1:19" ht="15" customHeight="1" x14ac:dyDescent="0.3">
      <c r="A1251">
        <v>1250</v>
      </c>
      <c r="B1251" t="s">
        <v>1714</v>
      </c>
      <c r="C1251">
        <v>7590596</v>
      </c>
      <c r="D1251" t="s">
        <v>114</v>
      </c>
      <c r="E1251">
        <v>71</v>
      </c>
      <c r="F1251" t="s">
        <v>77</v>
      </c>
      <c r="G1251" s="10">
        <v>45326</v>
      </c>
      <c r="H1251" t="s">
        <v>38</v>
      </c>
      <c r="I1251" t="s">
        <v>82</v>
      </c>
      <c r="J1251" t="s">
        <v>50</v>
      </c>
      <c r="K1251" t="s">
        <v>190</v>
      </c>
      <c r="L1251" t="s">
        <v>59</v>
      </c>
      <c r="M1251" t="s">
        <v>315</v>
      </c>
      <c r="N1251">
        <v>7</v>
      </c>
      <c r="O1251" t="s">
        <v>117</v>
      </c>
      <c r="P1251" s="11">
        <v>6300</v>
      </c>
      <c r="Q1251" t="s">
        <v>1715</v>
      </c>
      <c r="R1251" s="11">
        <f t="shared" si="38"/>
        <v>6300</v>
      </c>
      <c r="S1251" t="str">
        <f t="shared" si="39"/>
        <v>One-Time</v>
      </c>
    </row>
    <row r="1252" spans="1:19" ht="15" customHeight="1" x14ac:dyDescent="0.3">
      <c r="A1252">
        <v>1251</v>
      </c>
      <c r="B1252" t="s">
        <v>1716</v>
      </c>
      <c r="C1252">
        <v>7783914</v>
      </c>
      <c r="D1252" t="s">
        <v>114</v>
      </c>
      <c r="E1252">
        <v>55</v>
      </c>
      <c r="F1252" t="s">
        <v>77</v>
      </c>
      <c r="G1252" s="10">
        <v>45326</v>
      </c>
      <c r="H1252" t="s">
        <v>38</v>
      </c>
      <c r="I1252" t="s">
        <v>82</v>
      </c>
      <c r="J1252" t="s">
        <v>50</v>
      </c>
      <c r="K1252" t="s">
        <v>190</v>
      </c>
      <c r="L1252" t="s">
        <v>59</v>
      </c>
      <c r="M1252" t="s">
        <v>315</v>
      </c>
      <c r="N1252">
        <v>9</v>
      </c>
      <c r="O1252" t="s">
        <v>117</v>
      </c>
      <c r="P1252" s="11">
        <v>6300</v>
      </c>
      <c r="Q1252" t="s">
        <v>65</v>
      </c>
      <c r="R1252" s="11">
        <f t="shared" si="38"/>
        <v>6300</v>
      </c>
      <c r="S1252" t="str">
        <f t="shared" si="39"/>
        <v>One-Time</v>
      </c>
    </row>
    <row r="1253" spans="1:19" ht="15" customHeight="1" x14ac:dyDescent="0.3">
      <c r="A1253">
        <v>1252</v>
      </c>
      <c r="B1253" t="s">
        <v>1717</v>
      </c>
      <c r="C1253">
        <v>9286257</v>
      </c>
      <c r="D1253" t="s">
        <v>114</v>
      </c>
      <c r="E1253">
        <v>22</v>
      </c>
      <c r="F1253" t="s">
        <v>75</v>
      </c>
      <c r="G1253" s="10">
        <v>45326</v>
      </c>
      <c r="H1253" t="s">
        <v>38</v>
      </c>
      <c r="I1253" t="s">
        <v>82</v>
      </c>
      <c r="J1253" t="s">
        <v>50</v>
      </c>
      <c r="K1253" t="s">
        <v>190</v>
      </c>
      <c r="L1253" t="s">
        <v>59</v>
      </c>
      <c r="M1253" t="s">
        <v>315</v>
      </c>
      <c r="N1253">
        <v>3</v>
      </c>
      <c r="O1253" t="s">
        <v>117</v>
      </c>
      <c r="P1253" s="11">
        <v>6300</v>
      </c>
      <c r="Q1253" t="s">
        <v>64</v>
      </c>
      <c r="R1253" s="11">
        <f t="shared" si="38"/>
        <v>6300</v>
      </c>
      <c r="S1253" t="str">
        <f t="shared" si="39"/>
        <v>One-Time</v>
      </c>
    </row>
    <row r="1254" spans="1:19" ht="15" customHeight="1" x14ac:dyDescent="0.3">
      <c r="A1254">
        <v>1253</v>
      </c>
      <c r="B1254" t="s">
        <v>1718</v>
      </c>
      <c r="C1254">
        <v>6331688</v>
      </c>
      <c r="D1254" t="s">
        <v>114</v>
      </c>
      <c r="E1254">
        <v>34</v>
      </c>
      <c r="F1254" t="s">
        <v>76</v>
      </c>
      <c r="G1254" s="10">
        <v>45326</v>
      </c>
      <c r="H1254" t="s">
        <v>38</v>
      </c>
      <c r="I1254" t="s">
        <v>82</v>
      </c>
      <c r="J1254" t="s">
        <v>49</v>
      </c>
      <c r="K1254" t="s">
        <v>190</v>
      </c>
      <c r="L1254" t="s">
        <v>59</v>
      </c>
      <c r="M1254" t="s">
        <v>315</v>
      </c>
      <c r="N1254">
        <v>32</v>
      </c>
      <c r="O1254" t="s">
        <v>117</v>
      </c>
      <c r="P1254" s="11">
        <v>6300</v>
      </c>
      <c r="Q1254" t="s">
        <v>359</v>
      </c>
      <c r="R1254" s="11">
        <f t="shared" si="38"/>
        <v>6300</v>
      </c>
      <c r="S1254" t="str">
        <f t="shared" si="39"/>
        <v>One-Time</v>
      </c>
    </row>
    <row r="1255" spans="1:19" ht="15" customHeight="1" x14ac:dyDescent="0.3">
      <c r="A1255">
        <v>1254</v>
      </c>
      <c r="B1255" t="s">
        <v>1719</v>
      </c>
      <c r="C1255">
        <v>6294340</v>
      </c>
      <c r="D1255" t="s">
        <v>114</v>
      </c>
      <c r="E1255">
        <v>20</v>
      </c>
      <c r="F1255" t="s">
        <v>75</v>
      </c>
      <c r="G1255" s="10">
        <v>45326</v>
      </c>
      <c r="H1255" t="s">
        <v>38</v>
      </c>
      <c r="I1255" t="s">
        <v>82</v>
      </c>
      <c r="J1255" t="s">
        <v>49</v>
      </c>
      <c r="K1255" t="s">
        <v>190</v>
      </c>
      <c r="L1255" t="s">
        <v>59</v>
      </c>
      <c r="M1255" t="s">
        <v>315</v>
      </c>
      <c r="N1255">
        <v>65</v>
      </c>
      <c r="O1255" t="s">
        <v>117</v>
      </c>
      <c r="P1255" s="11">
        <v>6300</v>
      </c>
      <c r="Q1255" t="s">
        <v>1720</v>
      </c>
      <c r="R1255" s="11">
        <f t="shared" si="38"/>
        <v>6300</v>
      </c>
      <c r="S1255" t="str">
        <f t="shared" si="39"/>
        <v>One-Time</v>
      </c>
    </row>
    <row r="1256" spans="1:19" ht="15" customHeight="1" x14ac:dyDescent="0.3">
      <c r="A1256">
        <v>1255</v>
      </c>
      <c r="B1256" t="s">
        <v>1721</v>
      </c>
      <c r="C1256">
        <v>4969347</v>
      </c>
      <c r="D1256" t="s">
        <v>114</v>
      </c>
      <c r="E1256">
        <v>41</v>
      </c>
      <c r="F1256" t="s">
        <v>76</v>
      </c>
      <c r="G1256" s="10">
        <v>45326</v>
      </c>
      <c r="H1256" t="s">
        <v>38</v>
      </c>
      <c r="I1256" t="s">
        <v>82</v>
      </c>
      <c r="J1256" t="s">
        <v>49</v>
      </c>
      <c r="K1256" t="s">
        <v>190</v>
      </c>
      <c r="L1256" t="s">
        <v>59</v>
      </c>
      <c r="M1256" t="s">
        <v>116</v>
      </c>
      <c r="N1256">
        <v>4</v>
      </c>
      <c r="O1256" t="s">
        <v>117</v>
      </c>
      <c r="P1256" s="11">
        <v>6300</v>
      </c>
      <c r="Q1256" t="s">
        <v>749</v>
      </c>
      <c r="R1256" s="11">
        <f t="shared" si="38"/>
        <v>6300</v>
      </c>
      <c r="S1256" t="str">
        <f t="shared" si="39"/>
        <v>One-Time</v>
      </c>
    </row>
    <row r="1257" spans="1:19" ht="15" customHeight="1" x14ac:dyDescent="0.3">
      <c r="A1257">
        <v>1256</v>
      </c>
      <c r="B1257" t="s">
        <v>1722</v>
      </c>
      <c r="C1257">
        <v>8321158</v>
      </c>
      <c r="D1257" t="s">
        <v>114</v>
      </c>
      <c r="E1257">
        <v>20</v>
      </c>
      <c r="F1257" t="s">
        <v>75</v>
      </c>
      <c r="G1257" s="10">
        <v>45326</v>
      </c>
      <c r="H1257" t="s">
        <v>38</v>
      </c>
      <c r="I1257" t="s">
        <v>82</v>
      </c>
      <c r="J1257" t="s">
        <v>49</v>
      </c>
      <c r="K1257" t="s">
        <v>190</v>
      </c>
      <c r="L1257" t="s">
        <v>59</v>
      </c>
      <c r="M1257" t="s">
        <v>116</v>
      </c>
      <c r="N1257">
        <v>1</v>
      </c>
      <c r="O1257" t="s">
        <v>117</v>
      </c>
      <c r="P1257" s="11">
        <v>6300</v>
      </c>
      <c r="Q1257" t="s">
        <v>65</v>
      </c>
      <c r="R1257" s="11">
        <f t="shared" si="38"/>
        <v>6300</v>
      </c>
      <c r="S1257" t="str">
        <f t="shared" si="39"/>
        <v>One-Time</v>
      </c>
    </row>
    <row r="1258" spans="1:19" ht="15" customHeight="1" x14ac:dyDescent="0.3">
      <c r="A1258">
        <v>1257</v>
      </c>
      <c r="B1258" t="s">
        <v>1723</v>
      </c>
      <c r="C1258">
        <v>6510714</v>
      </c>
      <c r="D1258" t="s">
        <v>114</v>
      </c>
      <c r="E1258">
        <v>29</v>
      </c>
      <c r="F1258" t="s">
        <v>75</v>
      </c>
      <c r="G1258" s="10">
        <v>45326</v>
      </c>
      <c r="H1258" t="s">
        <v>38</v>
      </c>
      <c r="I1258" t="s">
        <v>85</v>
      </c>
      <c r="J1258" t="s">
        <v>49</v>
      </c>
      <c r="K1258" t="s">
        <v>190</v>
      </c>
      <c r="L1258" t="s">
        <v>59</v>
      </c>
      <c r="M1258" t="s">
        <v>116</v>
      </c>
      <c r="N1258">
        <v>47</v>
      </c>
      <c r="O1258" t="s">
        <v>117</v>
      </c>
      <c r="P1258" s="11">
        <v>6600</v>
      </c>
      <c r="Q1258" t="s">
        <v>71</v>
      </c>
      <c r="R1258" s="11">
        <f t="shared" si="38"/>
        <v>0</v>
      </c>
      <c r="S1258" t="str">
        <f t="shared" si="39"/>
        <v>Repeat</v>
      </c>
    </row>
    <row r="1259" spans="1:19" ht="15" customHeight="1" x14ac:dyDescent="0.3">
      <c r="A1259">
        <v>1258</v>
      </c>
      <c r="B1259" t="s">
        <v>1723</v>
      </c>
      <c r="C1259">
        <v>6510714</v>
      </c>
      <c r="D1259" t="s">
        <v>114</v>
      </c>
      <c r="E1259">
        <v>45</v>
      </c>
      <c r="F1259" t="s">
        <v>76</v>
      </c>
      <c r="G1259" s="10">
        <v>45326</v>
      </c>
      <c r="H1259" t="s">
        <v>38</v>
      </c>
      <c r="I1259" t="s">
        <v>85</v>
      </c>
      <c r="J1259" t="s">
        <v>49</v>
      </c>
      <c r="K1259" t="s">
        <v>190</v>
      </c>
      <c r="L1259" t="s">
        <v>59</v>
      </c>
      <c r="M1259" t="s">
        <v>116</v>
      </c>
      <c r="N1259">
        <v>9</v>
      </c>
      <c r="O1259" t="s">
        <v>117</v>
      </c>
      <c r="P1259" s="11">
        <v>6600</v>
      </c>
      <c r="Q1259" t="s">
        <v>66</v>
      </c>
      <c r="R1259" s="11">
        <f t="shared" si="38"/>
        <v>0</v>
      </c>
      <c r="S1259" t="str">
        <f t="shared" si="39"/>
        <v>Repeat</v>
      </c>
    </row>
    <row r="1260" spans="1:19" ht="15" customHeight="1" x14ac:dyDescent="0.3">
      <c r="A1260">
        <v>1259</v>
      </c>
      <c r="B1260" t="s">
        <v>1724</v>
      </c>
      <c r="C1260">
        <v>1094625</v>
      </c>
      <c r="D1260" t="s">
        <v>114</v>
      </c>
      <c r="E1260">
        <v>44</v>
      </c>
      <c r="F1260" t="s">
        <v>76</v>
      </c>
      <c r="G1260" s="10">
        <v>45326</v>
      </c>
      <c r="H1260" t="s">
        <v>38</v>
      </c>
      <c r="I1260" t="s">
        <v>82</v>
      </c>
      <c r="J1260" t="s">
        <v>49</v>
      </c>
      <c r="K1260" t="s">
        <v>190</v>
      </c>
      <c r="L1260" t="s">
        <v>59</v>
      </c>
      <c r="M1260" t="s">
        <v>116</v>
      </c>
      <c r="N1260">
        <v>7</v>
      </c>
      <c r="O1260" t="s">
        <v>117</v>
      </c>
      <c r="P1260" s="11">
        <v>6600</v>
      </c>
      <c r="Q1260" t="s">
        <v>66</v>
      </c>
      <c r="R1260" s="11">
        <f t="shared" si="38"/>
        <v>6600</v>
      </c>
      <c r="S1260" t="str">
        <f t="shared" si="39"/>
        <v>One-Time</v>
      </c>
    </row>
    <row r="1261" spans="1:19" ht="15" customHeight="1" x14ac:dyDescent="0.3">
      <c r="A1261">
        <v>1260</v>
      </c>
      <c r="B1261" t="s">
        <v>1725</v>
      </c>
      <c r="C1261">
        <v>4748558</v>
      </c>
      <c r="D1261" t="s">
        <v>114</v>
      </c>
      <c r="E1261">
        <v>22</v>
      </c>
      <c r="F1261" t="s">
        <v>75</v>
      </c>
      <c r="G1261" s="10">
        <v>45326</v>
      </c>
      <c r="H1261" t="s">
        <v>38</v>
      </c>
      <c r="I1261" t="s">
        <v>82</v>
      </c>
      <c r="J1261" t="s">
        <v>49</v>
      </c>
      <c r="K1261" t="s">
        <v>190</v>
      </c>
      <c r="L1261" t="s">
        <v>59</v>
      </c>
      <c r="M1261" t="s">
        <v>116</v>
      </c>
      <c r="N1261">
        <v>6</v>
      </c>
      <c r="O1261" t="s">
        <v>117</v>
      </c>
      <c r="P1261" s="11">
        <v>6600</v>
      </c>
      <c r="Q1261" t="s">
        <v>204</v>
      </c>
      <c r="R1261" s="11">
        <f t="shared" si="38"/>
        <v>6600</v>
      </c>
      <c r="S1261" t="str">
        <f t="shared" si="39"/>
        <v>One-Time</v>
      </c>
    </row>
    <row r="1262" spans="1:19" ht="15" customHeight="1" x14ac:dyDescent="0.3">
      <c r="A1262">
        <v>1261</v>
      </c>
      <c r="B1262" t="s">
        <v>1726</v>
      </c>
      <c r="C1262">
        <v>6381580</v>
      </c>
      <c r="D1262" t="s">
        <v>114</v>
      </c>
      <c r="E1262">
        <v>40</v>
      </c>
      <c r="F1262" t="s">
        <v>76</v>
      </c>
      <c r="G1262" s="10">
        <v>45326</v>
      </c>
      <c r="H1262" t="s">
        <v>38</v>
      </c>
      <c r="I1262" t="s">
        <v>82</v>
      </c>
      <c r="J1262" t="s">
        <v>49</v>
      </c>
      <c r="K1262" t="s">
        <v>190</v>
      </c>
      <c r="L1262" t="s">
        <v>59</v>
      </c>
      <c r="M1262" t="s">
        <v>116</v>
      </c>
      <c r="N1262">
        <v>2</v>
      </c>
      <c r="O1262" t="s">
        <v>117</v>
      </c>
      <c r="P1262" s="11">
        <v>6500</v>
      </c>
      <c r="Q1262" t="s">
        <v>1727</v>
      </c>
      <c r="R1262" s="11">
        <f t="shared" si="38"/>
        <v>6500</v>
      </c>
      <c r="S1262" t="str">
        <f t="shared" si="39"/>
        <v>One-Time</v>
      </c>
    </row>
    <row r="1263" spans="1:19" ht="15" customHeight="1" x14ac:dyDescent="0.3">
      <c r="A1263">
        <v>1262</v>
      </c>
      <c r="B1263" t="s">
        <v>1728</v>
      </c>
      <c r="C1263">
        <v>9691516</v>
      </c>
      <c r="D1263" t="s">
        <v>114</v>
      </c>
      <c r="E1263">
        <v>34</v>
      </c>
      <c r="F1263" t="s">
        <v>76</v>
      </c>
      <c r="G1263" s="10">
        <v>45326</v>
      </c>
      <c r="H1263" t="s">
        <v>38</v>
      </c>
      <c r="I1263" t="s">
        <v>82</v>
      </c>
      <c r="J1263" t="s">
        <v>49</v>
      </c>
      <c r="K1263" t="s">
        <v>190</v>
      </c>
      <c r="L1263" t="s">
        <v>59</v>
      </c>
      <c r="M1263" t="s">
        <v>116</v>
      </c>
      <c r="N1263">
        <v>8</v>
      </c>
      <c r="O1263" t="s">
        <v>117</v>
      </c>
      <c r="P1263" s="11">
        <v>6500</v>
      </c>
      <c r="Q1263" t="s">
        <v>1729</v>
      </c>
      <c r="R1263" s="11">
        <f t="shared" si="38"/>
        <v>6500</v>
      </c>
      <c r="S1263" t="str">
        <f t="shared" si="39"/>
        <v>One-Time</v>
      </c>
    </row>
    <row r="1264" spans="1:19" ht="15" customHeight="1" x14ac:dyDescent="0.3">
      <c r="A1264">
        <v>1263</v>
      </c>
      <c r="B1264" t="s">
        <v>1730</v>
      </c>
      <c r="C1264">
        <v>629022</v>
      </c>
      <c r="D1264" t="s">
        <v>114</v>
      </c>
      <c r="E1264">
        <v>32</v>
      </c>
      <c r="F1264" t="s">
        <v>76</v>
      </c>
      <c r="G1264" s="10">
        <v>45326</v>
      </c>
      <c r="H1264" t="s">
        <v>38</v>
      </c>
      <c r="I1264" t="s">
        <v>82</v>
      </c>
      <c r="J1264" t="s">
        <v>49</v>
      </c>
      <c r="K1264" t="s">
        <v>190</v>
      </c>
      <c r="L1264" t="s">
        <v>59</v>
      </c>
      <c r="M1264" t="s">
        <v>116</v>
      </c>
      <c r="N1264">
        <v>4</v>
      </c>
      <c r="O1264" t="s">
        <v>117</v>
      </c>
      <c r="P1264" s="11">
        <v>6500</v>
      </c>
      <c r="Q1264" t="s">
        <v>1137</v>
      </c>
      <c r="R1264" s="11">
        <f t="shared" si="38"/>
        <v>6500</v>
      </c>
      <c r="S1264" t="str">
        <f t="shared" si="39"/>
        <v>One-Time</v>
      </c>
    </row>
    <row r="1265" spans="1:19" ht="15" customHeight="1" x14ac:dyDescent="0.3">
      <c r="A1265">
        <v>1264</v>
      </c>
      <c r="B1265" t="s">
        <v>1731</v>
      </c>
      <c r="C1265">
        <v>6838538</v>
      </c>
      <c r="D1265" t="s">
        <v>114</v>
      </c>
      <c r="E1265">
        <v>20</v>
      </c>
      <c r="F1265" t="s">
        <v>75</v>
      </c>
      <c r="G1265" s="10">
        <v>45326</v>
      </c>
      <c r="H1265" t="s">
        <v>38</v>
      </c>
      <c r="I1265" t="s">
        <v>82</v>
      </c>
      <c r="J1265" t="s">
        <v>49</v>
      </c>
      <c r="K1265" t="s">
        <v>190</v>
      </c>
      <c r="L1265" t="s">
        <v>59</v>
      </c>
      <c r="M1265" t="s">
        <v>116</v>
      </c>
      <c r="N1265">
        <v>6</v>
      </c>
      <c r="O1265" t="s">
        <v>117</v>
      </c>
      <c r="P1265" s="11">
        <v>6500</v>
      </c>
      <c r="Q1265" t="s">
        <v>1732</v>
      </c>
      <c r="R1265" s="11">
        <f t="shared" si="38"/>
        <v>6500</v>
      </c>
      <c r="S1265" t="str">
        <f t="shared" si="39"/>
        <v>One-Time</v>
      </c>
    </row>
    <row r="1266" spans="1:19" ht="15" customHeight="1" x14ac:dyDescent="0.3">
      <c r="A1266">
        <v>1265</v>
      </c>
      <c r="B1266" t="s">
        <v>1733</v>
      </c>
      <c r="C1266">
        <v>775906</v>
      </c>
      <c r="D1266" t="s">
        <v>114</v>
      </c>
      <c r="E1266">
        <v>55</v>
      </c>
      <c r="F1266" t="s">
        <v>77</v>
      </c>
      <c r="G1266" s="10">
        <v>45326</v>
      </c>
      <c r="H1266" t="s">
        <v>38</v>
      </c>
      <c r="I1266" t="s">
        <v>82</v>
      </c>
      <c r="J1266" t="s">
        <v>49</v>
      </c>
      <c r="K1266" t="s">
        <v>190</v>
      </c>
      <c r="L1266" t="s">
        <v>59</v>
      </c>
      <c r="M1266" t="s">
        <v>116</v>
      </c>
      <c r="N1266">
        <v>5</v>
      </c>
      <c r="O1266" t="s">
        <v>117</v>
      </c>
      <c r="P1266" s="11">
        <v>6500</v>
      </c>
      <c r="Q1266" t="s">
        <v>62</v>
      </c>
      <c r="R1266" s="11">
        <f t="shared" si="38"/>
        <v>6500</v>
      </c>
      <c r="S1266" t="str">
        <f t="shared" si="39"/>
        <v>One-Time</v>
      </c>
    </row>
    <row r="1267" spans="1:19" ht="15" customHeight="1" x14ac:dyDescent="0.3">
      <c r="A1267">
        <v>1266</v>
      </c>
      <c r="B1267" t="s">
        <v>1734</v>
      </c>
      <c r="C1267">
        <v>4153899</v>
      </c>
      <c r="D1267" t="s">
        <v>114</v>
      </c>
      <c r="E1267">
        <v>38</v>
      </c>
      <c r="F1267" t="s">
        <v>76</v>
      </c>
      <c r="G1267" s="10">
        <v>45326</v>
      </c>
      <c r="H1267" t="s">
        <v>38</v>
      </c>
      <c r="I1267" t="s">
        <v>82</v>
      </c>
      <c r="J1267" t="s">
        <v>49</v>
      </c>
      <c r="K1267" t="s">
        <v>190</v>
      </c>
      <c r="L1267" t="s">
        <v>59</v>
      </c>
      <c r="M1267" t="s">
        <v>116</v>
      </c>
      <c r="N1267">
        <v>23</v>
      </c>
      <c r="O1267" t="s">
        <v>117</v>
      </c>
      <c r="P1267" s="11">
        <v>6500</v>
      </c>
      <c r="Q1267" t="s">
        <v>155</v>
      </c>
      <c r="R1267" s="11">
        <f t="shared" si="38"/>
        <v>6500</v>
      </c>
      <c r="S1267" t="str">
        <f t="shared" si="39"/>
        <v>One-Time</v>
      </c>
    </row>
    <row r="1268" spans="1:19" ht="15" customHeight="1" x14ac:dyDescent="0.3">
      <c r="A1268">
        <v>1267</v>
      </c>
      <c r="B1268" t="s">
        <v>1735</v>
      </c>
      <c r="C1268">
        <v>4483599</v>
      </c>
      <c r="D1268" t="s">
        <v>114</v>
      </c>
      <c r="E1268">
        <v>29</v>
      </c>
      <c r="F1268" t="s">
        <v>75</v>
      </c>
      <c r="G1268" s="10">
        <v>45326</v>
      </c>
      <c r="H1268" t="s">
        <v>38</v>
      </c>
      <c r="I1268" t="s">
        <v>82</v>
      </c>
      <c r="J1268" t="s">
        <v>49</v>
      </c>
      <c r="K1268" t="s">
        <v>190</v>
      </c>
      <c r="L1268" t="s">
        <v>59</v>
      </c>
      <c r="M1268" t="s">
        <v>122</v>
      </c>
      <c r="N1268">
        <v>2</v>
      </c>
      <c r="O1268" t="s">
        <v>117</v>
      </c>
      <c r="P1268" s="11">
        <v>6500</v>
      </c>
      <c r="Q1268" t="s">
        <v>1555</v>
      </c>
      <c r="R1268" s="11">
        <f t="shared" si="38"/>
        <v>6500</v>
      </c>
      <c r="S1268" t="str">
        <f t="shared" si="39"/>
        <v>One-Time</v>
      </c>
    </row>
    <row r="1269" spans="1:19" ht="15" customHeight="1" x14ac:dyDescent="0.3">
      <c r="A1269">
        <v>1268</v>
      </c>
      <c r="B1269" t="s">
        <v>1736</v>
      </c>
      <c r="C1269">
        <v>3796629</v>
      </c>
      <c r="D1269" t="s">
        <v>114</v>
      </c>
      <c r="E1269">
        <v>24</v>
      </c>
      <c r="F1269" t="s">
        <v>75</v>
      </c>
      <c r="G1269" s="10">
        <v>45326</v>
      </c>
      <c r="H1269" t="s">
        <v>38</v>
      </c>
      <c r="I1269" t="s">
        <v>82</v>
      </c>
      <c r="J1269" t="s">
        <v>49</v>
      </c>
      <c r="K1269" t="s">
        <v>184</v>
      </c>
      <c r="L1269" t="s">
        <v>59</v>
      </c>
      <c r="M1269" t="s">
        <v>122</v>
      </c>
      <c r="N1269">
        <v>5</v>
      </c>
      <c r="O1269" t="s">
        <v>117</v>
      </c>
      <c r="P1269" s="11">
        <v>7500</v>
      </c>
      <c r="Q1269" t="s">
        <v>200</v>
      </c>
      <c r="R1269" s="11">
        <f t="shared" si="38"/>
        <v>7500</v>
      </c>
      <c r="S1269" t="str">
        <f t="shared" si="39"/>
        <v>One-Time</v>
      </c>
    </row>
    <row r="1270" spans="1:19" ht="15" customHeight="1" x14ac:dyDescent="0.3">
      <c r="A1270">
        <v>1269</v>
      </c>
      <c r="B1270" t="s">
        <v>1737</v>
      </c>
      <c r="C1270">
        <v>4018425</v>
      </c>
      <c r="D1270" t="s">
        <v>114</v>
      </c>
      <c r="E1270">
        <v>76</v>
      </c>
      <c r="F1270" t="s">
        <v>77</v>
      </c>
      <c r="G1270" s="10">
        <v>45326</v>
      </c>
      <c r="H1270" t="s">
        <v>38</v>
      </c>
      <c r="I1270" t="s">
        <v>82</v>
      </c>
      <c r="J1270" t="s">
        <v>49</v>
      </c>
      <c r="K1270" t="s">
        <v>184</v>
      </c>
      <c r="L1270" t="s">
        <v>59</v>
      </c>
      <c r="M1270" t="s">
        <v>122</v>
      </c>
      <c r="N1270">
        <v>9</v>
      </c>
      <c r="O1270" t="s">
        <v>117</v>
      </c>
      <c r="P1270" s="11">
        <v>7500</v>
      </c>
      <c r="Q1270" t="s">
        <v>1469</v>
      </c>
      <c r="R1270" s="11">
        <f t="shared" si="38"/>
        <v>7500</v>
      </c>
      <c r="S1270" t="str">
        <f t="shared" si="39"/>
        <v>One-Time</v>
      </c>
    </row>
    <row r="1271" spans="1:19" ht="15" customHeight="1" x14ac:dyDescent="0.3">
      <c r="A1271">
        <v>1270</v>
      </c>
      <c r="B1271" t="s">
        <v>1738</v>
      </c>
      <c r="C1271">
        <v>4788352</v>
      </c>
      <c r="D1271" t="s">
        <v>114</v>
      </c>
      <c r="E1271">
        <v>46</v>
      </c>
      <c r="F1271" t="s">
        <v>76</v>
      </c>
      <c r="G1271" s="10">
        <v>45326</v>
      </c>
      <c r="H1271" t="s">
        <v>38</v>
      </c>
      <c r="I1271" t="s">
        <v>82</v>
      </c>
      <c r="J1271" t="s">
        <v>49</v>
      </c>
      <c r="K1271" t="s">
        <v>184</v>
      </c>
      <c r="L1271" t="s">
        <v>59</v>
      </c>
      <c r="M1271" t="s">
        <v>122</v>
      </c>
      <c r="N1271">
        <v>27</v>
      </c>
      <c r="O1271" t="s">
        <v>117</v>
      </c>
      <c r="P1271" s="11">
        <v>7500</v>
      </c>
      <c r="Q1271" t="s">
        <v>62</v>
      </c>
      <c r="R1271" s="11">
        <f t="shared" si="38"/>
        <v>7500</v>
      </c>
      <c r="S1271" t="str">
        <f t="shared" si="39"/>
        <v>One-Time</v>
      </c>
    </row>
    <row r="1272" spans="1:19" ht="15" customHeight="1" x14ac:dyDescent="0.3">
      <c r="A1272">
        <v>1271</v>
      </c>
      <c r="B1272" t="s">
        <v>1739</v>
      </c>
      <c r="C1272">
        <v>6680125</v>
      </c>
      <c r="D1272" t="s">
        <v>114</v>
      </c>
      <c r="E1272">
        <v>47</v>
      </c>
      <c r="F1272" t="s">
        <v>76</v>
      </c>
      <c r="G1272" s="10">
        <v>45326</v>
      </c>
      <c r="H1272" t="s">
        <v>38</v>
      </c>
      <c r="I1272" t="s">
        <v>82</v>
      </c>
      <c r="J1272" t="s">
        <v>49</v>
      </c>
      <c r="K1272" t="s">
        <v>184</v>
      </c>
      <c r="L1272" t="s">
        <v>59</v>
      </c>
      <c r="M1272" t="s">
        <v>122</v>
      </c>
      <c r="N1272">
        <v>6</v>
      </c>
      <c r="O1272" t="s">
        <v>117</v>
      </c>
      <c r="P1272" s="11">
        <v>7500</v>
      </c>
      <c r="Q1272" t="s">
        <v>1740</v>
      </c>
      <c r="R1272" s="11">
        <f t="shared" si="38"/>
        <v>7500</v>
      </c>
      <c r="S1272" t="str">
        <f t="shared" si="39"/>
        <v>One-Time</v>
      </c>
    </row>
    <row r="1273" spans="1:19" ht="15" customHeight="1" x14ac:dyDescent="0.3">
      <c r="A1273">
        <v>1272</v>
      </c>
      <c r="B1273" t="s">
        <v>1741</v>
      </c>
      <c r="C1273">
        <v>9068519</v>
      </c>
      <c r="D1273" t="s">
        <v>114</v>
      </c>
      <c r="E1273">
        <v>41</v>
      </c>
      <c r="F1273" t="s">
        <v>76</v>
      </c>
      <c r="G1273" s="10">
        <v>45326</v>
      </c>
      <c r="H1273" t="s">
        <v>38</v>
      </c>
      <c r="I1273" t="s">
        <v>85</v>
      </c>
      <c r="J1273" t="s">
        <v>49</v>
      </c>
      <c r="K1273" t="s">
        <v>184</v>
      </c>
      <c r="L1273" t="s">
        <v>59</v>
      </c>
      <c r="M1273" t="s">
        <v>122</v>
      </c>
      <c r="N1273">
        <v>6</v>
      </c>
      <c r="O1273" t="s">
        <v>117</v>
      </c>
      <c r="P1273" s="11">
        <v>7500</v>
      </c>
      <c r="Q1273" t="s">
        <v>1742</v>
      </c>
      <c r="R1273" s="11">
        <f t="shared" si="38"/>
        <v>0</v>
      </c>
      <c r="S1273" t="str">
        <f t="shared" si="39"/>
        <v>Repeat</v>
      </c>
    </row>
    <row r="1274" spans="1:19" ht="15" customHeight="1" x14ac:dyDescent="0.3">
      <c r="A1274">
        <v>1273</v>
      </c>
      <c r="B1274" t="s">
        <v>1741</v>
      </c>
      <c r="C1274">
        <v>9068519</v>
      </c>
      <c r="D1274" t="s">
        <v>114</v>
      </c>
      <c r="E1274">
        <v>73</v>
      </c>
      <c r="F1274" t="s">
        <v>77</v>
      </c>
      <c r="G1274" s="10">
        <v>45326</v>
      </c>
      <c r="H1274" t="s">
        <v>38</v>
      </c>
      <c r="I1274" t="s">
        <v>85</v>
      </c>
      <c r="J1274" t="s">
        <v>49</v>
      </c>
      <c r="K1274" t="s">
        <v>184</v>
      </c>
      <c r="L1274" t="s">
        <v>59</v>
      </c>
      <c r="M1274" t="s">
        <v>122</v>
      </c>
      <c r="N1274">
        <v>2</v>
      </c>
      <c r="O1274" t="s">
        <v>117</v>
      </c>
      <c r="P1274" s="11">
        <v>7500</v>
      </c>
      <c r="Q1274" t="s">
        <v>1743</v>
      </c>
      <c r="R1274" s="11">
        <f t="shared" si="38"/>
        <v>0</v>
      </c>
      <c r="S1274" t="str">
        <f t="shared" si="39"/>
        <v>Repeat</v>
      </c>
    </row>
    <row r="1275" spans="1:19" ht="15" customHeight="1" x14ac:dyDescent="0.3">
      <c r="A1275">
        <v>1274</v>
      </c>
      <c r="B1275" t="s">
        <v>1744</v>
      </c>
      <c r="C1275">
        <v>2989740</v>
      </c>
      <c r="D1275" t="s">
        <v>114</v>
      </c>
      <c r="E1275">
        <v>23</v>
      </c>
      <c r="F1275" t="s">
        <v>75</v>
      </c>
      <c r="G1275" s="10">
        <v>45326</v>
      </c>
      <c r="H1275" t="s">
        <v>38</v>
      </c>
      <c r="I1275" t="s">
        <v>82</v>
      </c>
      <c r="J1275" t="s">
        <v>49</v>
      </c>
      <c r="K1275" t="s">
        <v>184</v>
      </c>
      <c r="L1275" t="s">
        <v>59</v>
      </c>
      <c r="M1275" t="s">
        <v>122</v>
      </c>
      <c r="N1275">
        <v>32</v>
      </c>
      <c r="O1275" t="s">
        <v>117</v>
      </c>
      <c r="P1275" s="11">
        <v>7500</v>
      </c>
      <c r="Q1275" t="s">
        <v>1745</v>
      </c>
      <c r="R1275" s="11">
        <f t="shared" si="38"/>
        <v>7500</v>
      </c>
      <c r="S1275" t="str">
        <f t="shared" si="39"/>
        <v>Repeat</v>
      </c>
    </row>
    <row r="1276" spans="1:19" ht="15" customHeight="1" x14ac:dyDescent="0.3">
      <c r="A1276">
        <v>1275</v>
      </c>
      <c r="B1276" t="s">
        <v>1744</v>
      </c>
      <c r="C1276">
        <v>2989740</v>
      </c>
      <c r="D1276" t="s">
        <v>114</v>
      </c>
      <c r="E1276">
        <v>44</v>
      </c>
      <c r="F1276" t="s">
        <v>76</v>
      </c>
      <c r="G1276" s="10">
        <v>45326</v>
      </c>
      <c r="H1276" t="s">
        <v>38</v>
      </c>
      <c r="I1276" t="s">
        <v>82</v>
      </c>
      <c r="J1276" t="s">
        <v>49</v>
      </c>
      <c r="K1276" t="s">
        <v>184</v>
      </c>
      <c r="L1276" t="s">
        <v>59</v>
      </c>
      <c r="M1276" t="s">
        <v>122</v>
      </c>
      <c r="N1276">
        <v>3</v>
      </c>
      <c r="O1276" t="s">
        <v>117</v>
      </c>
      <c r="P1276" s="11">
        <v>7500</v>
      </c>
      <c r="Q1276" t="s">
        <v>69</v>
      </c>
      <c r="R1276" s="11">
        <f t="shared" si="38"/>
        <v>7500</v>
      </c>
      <c r="S1276" t="str">
        <f t="shared" si="39"/>
        <v>Repeat</v>
      </c>
    </row>
    <row r="1277" spans="1:19" ht="15" customHeight="1" x14ac:dyDescent="0.3">
      <c r="A1277">
        <v>1276</v>
      </c>
      <c r="B1277" t="s">
        <v>1746</v>
      </c>
      <c r="C1277">
        <v>1201776</v>
      </c>
      <c r="D1277" t="s">
        <v>114</v>
      </c>
      <c r="E1277">
        <v>43</v>
      </c>
      <c r="F1277" t="s">
        <v>76</v>
      </c>
      <c r="G1277" s="10">
        <v>45326</v>
      </c>
      <c r="H1277" t="s">
        <v>38</v>
      </c>
      <c r="I1277" t="s">
        <v>82</v>
      </c>
      <c r="J1277" t="s">
        <v>49</v>
      </c>
      <c r="K1277" t="s">
        <v>184</v>
      </c>
      <c r="L1277" t="s">
        <v>59</v>
      </c>
      <c r="M1277" t="s">
        <v>122</v>
      </c>
      <c r="N1277">
        <v>48</v>
      </c>
      <c r="O1277" t="s">
        <v>117</v>
      </c>
      <c r="P1277" s="11">
        <v>5800</v>
      </c>
      <c r="Q1277" t="s">
        <v>1747</v>
      </c>
      <c r="R1277" s="11">
        <f t="shared" si="38"/>
        <v>5800</v>
      </c>
      <c r="S1277" t="str">
        <f t="shared" si="39"/>
        <v>One-Time</v>
      </c>
    </row>
    <row r="1278" spans="1:19" ht="15" customHeight="1" x14ac:dyDescent="0.3">
      <c r="A1278">
        <v>1277</v>
      </c>
      <c r="B1278" t="s">
        <v>1748</v>
      </c>
      <c r="C1278">
        <v>3901170</v>
      </c>
      <c r="D1278" t="s">
        <v>114</v>
      </c>
      <c r="E1278">
        <v>46</v>
      </c>
      <c r="F1278" t="s">
        <v>76</v>
      </c>
      <c r="G1278" s="10">
        <v>45326</v>
      </c>
      <c r="H1278" t="s">
        <v>38</v>
      </c>
      <c r="I1278" t="s">
        <v>82</v>
      </c>
      <c r="J1278" t="s">
        <v>49</v>
      </c>
      <c r="K1278" t="s">
        <v>184</v>
      </c>
      <c r="L1278" t="s">
        <v>59</v>
      </c>
      <c r="M1278" t="s">
        <v>122</v>
      </c>
      <c r="N1278">
        <v>5</v>
      </c>
      <c r="O1278" t="s">
        <v>117</v>
      </c>
      <c r="P1278" s="11">
        <v>5800</v>
      </c>
      <c r="Q1278" t="s">
        <v>66</v>
      </c>
      <c r="R1278" s="11">
        <f t="shared" si="38"/>
        <v>5800</v>
      </c>
      <c r="S1278" t="str">
        <f t="shared" si="39"/>
        <v>Repeat</v>
      </c>
    </row>
    <row r="1279" spans="1:19" ht="15" customHeight="1" x14ac:dyDescent="0.3">
      <c r="A1279">
        <v>1278</v>
      </c>
      <c r="B1279" t="s">
        <v>1748</v>
      </c>
      <c r="C1279">
        <v>3901170</v>
      </c>
      <c r="D1279" t="s">
        <v>114</v>
      </c>
      <c r="E1279">
        <v>31</v>
      </c>
      <c r="F1279" t="s">
        <v>76</v>
      </c>
      <c r="G1279" s="10">
        <v>45326</v>
      </c>
      <c r="H1279" t="s">
        <v>38</v>
      </c>
      <c r="I1279" t="s">
        <v>82</v>
      </c>
      <c r="J1279" t="s">
        <v>49</v>
      </c>
      <c r="K1279" t="s">
        <v>184</v>
      </c>
      <c r="L1279" t="s">
        <v>59</v>
      </c>
      <c r="M1279" t="s">
        <v>122</v>
      </c>
      <c r="N1279">
        <v>2</v>
      </c>
      <c r="O1279" t="s">
        <v>117</v>
      </c>
      <c r="P1279" s="11">
        <v>5800</v>
      </c>
      <c r="Q1279" t="s">
        <v>1749</v>
      </c>
      <c r="R1279" s="11">
        <f t="shared" si="38"/>
        <v>5800</v>
      </c>
      <c r="S1279" t="str">
        <f t="shared" si="39"/>
        <v>Repeat</v>
      </c>
    </row>
    <row r="1280" spans="1:19" ht="15" customHeight="1" x14ac:dyDescent="0.3">
      <c r="A1280">
        <v>1279</v>
      </c>
      <c r="B1280" t="s">
        <v>1748</v>
      </c>
      <c r="C1280">
        <v>3901170</v>
      </c>
      <c r="D1280" t="s">
        <v>114</v>
      </c>
      <c r="E1280">
        <v>52</v>
      </c>
      <c r="F1280" t="s">
        <v>77</v>
      </c>
      <c r="G1280" s="10">
        <v>45326</v>
      </c>
      <c r="H1280" t="s">
        <v>38</v>
      </c>
      <c r="I1280" t="s">
        <v>82</v>
      </c>
      <c r="J1280" t="s">
        <v>49</v>
      </c>
      <c r="K1280" t="s">
        <v>184</v>
      </c>
      <c r="L1280" t="s">
        <v>59</v>
      </c>
      <c r="M1280" t="s">
        <v>122</v>
      </c>
      <c r="N1280">
        <v>9</v>
      </c>
      <c r="O1280" t="s">
        <v>117</v>
      </c>
      <c r="P1280" s="11">
        <v>5800</v>
      </c>
      <c r="Q1280" t="s">
        <v>62</v>
      </c>
      <c r="R1280" s="11">
        <f t="shared" si="38"/>
        <v>5800</v>
      </c>
      <c r="S1280" t="str">
        <f t="shared" si="39"/>
        <v>Repeat</v>
      </c>
    </row>
    <row r="1281" spans="1:19" ht="15" customHeight="1" x14ac:dyDescent="0.3">
      <c r="A1281">
        <v>1280</v>
      </c>
      <c r="B1281" t="s">
        <v>1750</v>
      </c>
      <c r="C1281">
        <v>728924</v>
      </c>
      <c r="D1281" t="s">
        <v>114</v>
      </c>
      <c r="E1281">
        <v>19</v>
      </c>
      <c r="F1281" t="s">
        <v>75</v>
      </c>
      <c r="G1281" s="10">
        <v>45326</v>
      </c>
      <c r="H1281" t="s">
        <v>38</v>
      </c>
      <c r="I1281" t="s">
        <v>82</v>
      </c>
      <c r="J1281" t="s">
        <v>49</v>
      </c>
      <c r="K1281" t="s">
        <v>184</v>
      </c>
      <c r="L1281" t="s">
        <v>59</v>
      </c>
      <c r="M1281" t="s">
        <v>122</v>
      </c>
      <c r="N1281">
        <v>7</v>
      </c>
      <c r="O1281" t="s">
        <v>117</v>
      </c>
      <c r="P1281" s="11">
        <v>5800</v>
      </c>
      <c r="Q1281" t="s">
        <v>174</v>
      </c>
      <c r="R1281" s="11">
        <f t="shared" si="38"/>
        <v>5800</v>
      </c>
      <c r="S1281" t="str">
        <f t="shared" si="39"/>
        <v>One-Time</v>
      </c>
    </row>
    <row r="1282" spans="1:19" ht="15" customHeight="1" x14ac:dyDescent="0.3">
      <c r="A1282">
        <v>1281</v>
      </c>
      <c r="B1282" t="s">
        <v>1751</v>
      </c>
      <c r="C1282">
        <v>5683002</v>
      </c>
      <c r="D1282" t="s">
        <v>114</v>
      </c>
      <c r="E1282">
        <v>43</v>
      </c>
      <c r="F1282" t="s">
        <v>76</v>
      </c>
      <c r="G1282" s="10">
        <v>45326</v>
      </c>
      <c r="H1282" t="s">
        <v>38</v>
      </c>
      <c r="I1282" t="s">
        <v>85</v>
      </c>
      <c r="J1282" t="s">
        <v>49</v>
      </c>
      <c r="K1282" t="s">
        <v>173</v>
      </c>
      <c r="L1282" t="s">
        <v>59</v>
      </c>
      <c r="M1282" t="s">
        <v>122</v>
      </c>
      <c r="N1282">
        <v>2</v>
      </c>
      <c r="O1282" t="s">
        <v>117</v>
      </c>
      <c r="P1282" s="11">
        <v>5800</v>
      </c>
      <c r="Q1282" t="s">
        <v>278</v>
      </c>
      <c r="R1282" s="11">
        <f t="shared" ref="R1282:R1345" si="40">IF(I1282="Delivered",P1282,0)</f>
        <v>0</v>
      </c>
      <c r="S1282" t="str">
        <f t="shared" ref="S1282:S1345" si="41">IF(COUNTIF($C$2:$C$1501,C1282)&gt;1,"Repeat","One-Time")</f>
        <v>One-Time</v>
      </c>
    </row>
    <row r="1283" spans="1:19" ht="15" customHeight="1" x14ac:dyDescent="0.3">
      <c r="A1283">
        <v>1282</v>
      </c>
      <c r="B1283" t="s">
        <v>1752</v>
      </c>
      <c r="C1283">
        <v>9722357</v>
      </c>
      <c r="D1283" t="s">
        <v>114</v>
      </c>
      <c r="E1283">
        <v>27</v>
      </c>
      <c r="F1283" t="s">
        <v>75</v>
      </c>
      <c r="G1283" s="10">
        <v>45366</v>
      </c>
      <c r="H1283" t="s">
        <v>39</v>
      </c>
      <c r="I1283" t="s">
        <v>82</v>
      </c>
      <c r="J1283" t="s">
        <v>49</v>
      </c>
      <c r="K1283" t="s">
        <v>144</v>
      </c>
      <c r="L1283" t="s">
        <v>59</v>
      </c>
      <c r="M1283" t="s">
        <v>122</v>
      </c>
      <c r="N1283">
        <v>8</v>
      </c>
      <c r="O1283" t="s">
        <v>117</v>
      </c>
      <c r="P1283" s="11">
        <v>5500</v>
      </c>
      <c r="Q1283" t="s">
        <v>65</v>
      </c>
      <c r="R1283" s="11">
        <f t="shared" si="40"/>
        <v>5500</v>
      </c>
      <c r="S1283" t="str">
        <f t="shared" si="41"/>
        <v>One-Time</v>
      </c>
    </row>
    <row r="1284" spans="1:19" ht="15" customHeight="1" x14ac:dyDescent="0.3">
      <c r="A1284">
        <v>1283</v>
      </c>
      <c r="B1284" t="s">
        <v>1753</v>
      </c>
      <c r="C1284">
        <v>3662074</v>
      </c>
      <c r="D1284" t="s">
        <v>114</v>
      </c>
      <c r="E1284">
        <v>20</v>
      </c>
      <c r="F1284" t="s">
        <v>75</v>
      </c>
      <c r="G1284" s="10">
        <v>45367</v>
      </c>
      <c r="H1284" t="s">
        <v>39</v>
      </c>
      <c r="I1284" t="s">
        <v>85</v>
      </c>
      <c r="J1284" t="s">
        <v>49</v>
      </c>
      <c r="K1284" t="s">
        <v>144</v>
      </c>
      <c r="L1284" t="s">
        <v>59</v>
      </c>
      <c r="M1284" t="s">
        <v>122</v>
      </c>
      <c r="N1284">
        <v>4</v>
      </c>
      <c r="O1284" t="s">
        <v>117</v>
      </c>
      <c r="P1284" s="11">
        <v>5500</v>
      </c>
      <c r="Q1284" t="s">
        <v>67</v>
      </c>
      <c r="R1284" s="11">
        <f t="shared" si="40"/>
        <v>0</v>
      </c>
      <c r="S1284" t="str">
        <f t="shared" si="41"/>
        <v>One-Time</v>
      </c>
    </row>
    <row r="1285" spans="1:19" ht="15" customHeight="1" x14ac:dyDescent="0.3">
      <c r="A1285">
        <v>1284</v>
      </c>
      <c r="B1285" t="s">
        <v>1754</v>
      </c>
      <c r="C1285">
        <v>2438166</v>
      </c>
      <c r="D1285" t="s">
        <v>114</v>
      </c>
      <c r="E1285">
        <v>52</v>
      </c>
      <c r="F1285" t="s">
        <v>77</v>
      </c>
      <c r="G1285" s="10">
        <v>45368</v>
      </c>
      <c r="H1285" t="s">
        <v>39</v>
      </c>
      <c r="I1285" t="s">
        <v>82</v>
      </c>
      <c r="J1285" t="s">
        <v>49</v>
      </c>
      <c r="K1285" t="s">
        <v>144</v>
      </c>
      <c r="L1285" t="s">
        <v>59</v>
      </c>
      <c r="M1285" t="s">
        <v>122</v>
      </c>
      <c r="N1285">
        <v>5</v>
      </c>
      <c r="O1285" t="s">
        <v>117</v>
      </c>
      <c r="P1285" s="11">
        <v>5500</v>
      </c>
      <c r="Q1285" t="s">
        <v>64</v>
      </c>
      <c r="R1285" s="11">
        <f t="shared" si="40"/>
        <v>5500</v>
      </c>
      <c r="S1285" t="str">
        <f t="shared" si="41"/>
        <v>One-Time</v>
      </c>
    </row>
    <row r="1286" spans="1:19" ht="15" customHeight="1" x14ac:dyDescent="0.3">
      <c r="A1286">
        <v>1285</v>
      </c>
      <c r="B1286" t="s">
        <v>1755</v>
      </c>
      <c r="C1286">
        <v>6820480</v>
      </c>
      <c r="D1286" t="s">
        <v>114</v>
      </c>
      <c r="E1286">
        <v>23</v>
      </c>
      <c r="F1286" t="s">
        <v>75</v>
      </c>
      <c r="G1286" s="10">
        <v>45369</v>
      </c>
      <c r="H1286" t="s">
        <v>39</v>
      </c>
      <c r="I1286" t="s">
        <v>82</v>
      </c>
      <c r="J1286" t="s">
        <v>49</v>
      </c>
      <c r="K1286" t="s">
        <v>144</v>
      </c>
      <c r="L1286" t="s">
        <v>60</v>
      </c>
      <c r="M1286" t="s">
        <v>122</v>
      </c>
      <c r="N1286">
        <v>6</v>
      </c>
      <c r="O1286" t="s">
        <v>117</v>
      </c>
      <c r="P1286" s="11">
        <v>5500</v>
      </c>
      <c r="Q1286" t="s">
        <v>409</v>
      </c>
      <c r="R1286" s="11">
        <f t="shared" si="40"/>
        <v>5500</v>
      </c>
      <c r="S1286" t="str">
        <f t="shared" si="41"/>
        <v>One-Time</v>
      </c>
    </row>
    <row r="1287" spans="1:19" ht="15" customHeight="1" x14ac:dyDescent="0.3">
      <c r="A1287">
        <v>1286</v>
      </c>
      <c r="B1287" t="s">
        <v>1756</v>
      </c>
      <c r="C1287">
        <v>1750809</v>
      </c>
      <c r="D1287" t="s">
        <v>114</v>
      </c>
      <c r="E1287">
        <v>28</v>
      </c>
      <c r="F1287" t="s">
        <v>75</v>
      </c>
      <c r="G1287" s="10">
        <v>45370</v>
      </c>
      <c r="H1287" t="s">
        <v>39</v>
      </c>
      <c r="I1287" t="s">
        <v>82</v>
      </c>
      <c r="J1287" t="s">
        <v>49</v>
      </c>
      <c r="K1287" t="s">
        <v>144</v>
      </c>
      <c r="L1287" t="s">
        <v>60</v>
      </c>
      <c r="M1287" t="s">
        <v>122</v>
      </c>
      <c r="N1287">
        <v>31</v>
      </c>
      <c r="O1287" t="s">
        <v>117</v>
      </c>
      <c r="P1287" s="11">
        <v>5500</v>
      </c>
      <c r="Q1287" t="s">
        <v>63</v>
      </c>
      <c r="R1287" s="11">
        <f t="shared" si="40"/>
        <v>5500</v>
      </c>
      <c r="S1287" t="str">
        <f t="shared" si="41"/>
        <v>One-Time</v>
      </c>
    </row>
    <row r="1288" spans="1:19" ht="15" customHeight="1" x14ac:dyDescent="0.3">
      <c r="A1288">
        <v>1287</v>
      </c>
      <c r="B1288" t="s">
        <v>1757</v>
      </c>
      <c r="C1288">
        <v>7894827</v>
      </c>
      <c r="D1288" t="s">
        <v>114</v>
      </c>
      <c r="E1288">
        <v>29</v>
      </c>
      <c r="F1288" t="s">
        <v>75</v>
      </c>
      <c r="G1288" s="10">
        <v>45371</v>
      </c>
      <c r="H1288" t="s">
        <v>39</v>
      </c>
      <c r="I1288" t="s">
        <v>82</v>
      </c>
      <c r="J1288" t="s">
        <v>49</v>
      </c>
      <c r="K1288" t="s">
        <v>144</v>
      </c>
      <c r="L1288" t="s">
        <v>60</v>
      </c>
      <c r="M1288" t="s">
        <v>122</v>
      </c>
      <c r="N1288">
        <v>2</v>
      </c>
      <c r="O1288" t="s">
        <v>117</v>
      </c>
      <c r="P1288" s="11">
        <v>6000</v>
      </c>
      <c r="Q1288" t="s">
        <v>62</v>
      </c>
      <c r="R1288" s="11">
        <f t="shared" si="40"/>
        <v>6000</v>
      </c>
      <c r="S1288" t="str">
        <f t="shared" si="41"/>
        <v>One-Time</v>
      </c>
    </row>
    <row r="1289" spans="1:19" ht="15" customHeight="1" x14ac:dyDescent="0.3">
      <c r="A1289">
        <v>1288</v>
      </c>
      <c r="B1289" t="s">
        <v>1758</v>
      </c>
      <c r="C1289">
        <v>5359308</v>
      </c>
      <c r="D1289" t="s">
        <v>114</v>
      </c>
      <c r="E1289">
        <v>24</v>
      </c>
      <c r="F1289" t="s">
        <v>75</v>
      </c>
      <c r="G1289" s="10">
        <v>45372</v>
      </c>
      <c r="H1289" t="s">
        <v>39</v>
      </c>
      <c r="I1289" t="s">
        <v>82</v>
      </c>
      <c r="J1289" t="s">
        <v>49</v>
      </c>
      <c r="K1289" t="s">
        <v>144</v>
      </c>
      <c r="L1289" t="s">
        <v>60</v>
      </c>
      <c r="M1289" t="s">
        <v>122</v>
      </c>
      <c r="N1289">
        <v>5</v>
      </c>
      <c r="O1289" t="s">
        <v>117</v>
      </c>
      <c r="P1289" s="11">
        <v>6000</v>
      </c>
      <c r="Q1289" t="s">
        <v>1759</v>
      </c>
      <c r="R1289" s="11">
        <f t="shared" si="40"/>
        <v>6000</v>
      </c>
      <c r="S1289" t="str">
        <f t="shared" si="41"/>
        <v>One-Time</v>
      </c>
    </row>
    <row r="1290" spans="1:19" ht="15" customHeight="1" x14ac:dyDescent="0.3">
      <c r="A1290">
        <v>1289</v>
      </c>
      <c r="B1290" t="s">
        <v>1760</v>
      </c>
      <c r="C1290">
        <v>9083028</v>
      </c>
      <c r="D1290" t="s">
        <v>114</v>
      </c>
      <c r="E1290">
        <v>61</v>
      </c>
      <c r="F1290" t="s">
        <v>77</v>
      </c>
      <c r="G1290" s="10">
        <v>45373</v>
      </c>
      <c r="H1290" t="s">
        <v>39</v>
      </c>
      <c r="I1290" t="s">
        <v>82</v>
      </c>
      <c r="J1290" t="s">
        <v>49</v>
      </c>
      <c r="K1290" t="s">
        <v>144</v>
      </c>
      <c r="L1290" t="s">
        <v>60</v>
      </c>
      <c r="M1290" t="s">
        <v>122</v>
      </c>
      <c r="N1290">
        <v>5</v>
      </c>
      <c r="O1290" t="s">
        <v>117</v>
      </c>
      <c r="P1290" s="11">
        <v>6000</v>
      </c>
      <c r="Q1290" t="s">
        <v>740</v>
      </c>
      <c r="R1290" s="11">
        <f t="shared" si="40"/>
        <v>6000</v>
      </c>
      <c r="S1290" t="str">
        <f t="shared" si="41"/>
        <v>One-Time</v>
      </c>
    </row>
    <row r="1291" spans="1:19" ht="15" customHeight="1" x14ac:dyDescent="0.3">
      <c r="A1291">
        <v>1290</v>
      </c>
      <c r="B1291" t="s">
        <v>1761</v>
      </c>
      <c r="C1291">
        <v>8259194</v>
      </c>
      <c r="D1291" t="s">
        <v>114</v>
      </c>
      <c r="E1291">
        <v>34</v>
      </c>
      <c r="F1291" t="s">
        <v>76</v>
      </c>
      <c r="G1291" s="10">
        <v>45374</v>
      </c>
      <c r="H1291" t="s">
        <v>39</v>
      </c>
      <c r="I1291" t="s">
        <v>82</v>
      </c>
      <c r="J1291" t="s">
        <v>49</v>
      </c>
      <c r="K1291" t="s">
        <v>144</v>
      </c>
      <c r="L1291" t="s">
        <v>60</v>
      </c>
      <c r="M1291" t="s">
        <v>122</v>
      </c>
      <c r="N1291">
        <v>8</v>
      </c>
      <c r="O1291" t="s">
        <v>117</v>
      </c>
      <c r="P1291" s="11">
        <v>6000</v>
      </c>
      <c r="Q1291" t="s">
        <v>409</v>
      </c>
      <c r="R1291" s="11">
        <f t="shared" si="40"/>
        <v>6000</v>
      </c>
      <c r="S1291" t="str">
        <f t="shared" si="41"/>
        <v>One-Time</v>
      </c>
    </row>
    <row r="1292" spans="1:19" ht="15" customHeight="1" x14ac:dyDescent="0.3">
      <c r="A1292">
        <v>1291</v>
      </c>
      <c r="B1292" t="s">
        <v>1762</v>
      </c>
      <c r="C1292">
        <v>4731403</v>
      </c>
      <c r="D1292" t="s">
        <v>114</v>
      </c>
      <c r="E1292">
        <v>73</v>
      </c>
      <c r="F1292" t="s">
        <v>77</v>
      </c>
      <c r="G1292" s="10">
        <v>45375</v>
      </c>
      <c r="H1292" t="s">
        <v>39</v>
      </c>
      <c r="I1292" t="s">
        <v>82</v>
      </c>
      <c r="J1292" t="s">
        <v>49</v>
      </c>
      <c r="K1292" t="s">
        <v>144</v>
      </c>
      <c r="L1292" t="s">
        <v>60</v>
      </c>
      <c r="M1292" t="s">
        <v>122</v>
      </c>
      <c r="N1292">
        <v>9</v>
      </c>
      <c r="O1292" t="s">
        <v>117</v>
      </c>
      <c r="P1292" s="11">
        <v>6000</v>
      </c>
      <c r="Q1292" t="s">
        <v>66</v>
      </c>
      <c r="R1292" s="11">
        <f t="shared" si="40"/>
        <v>6000</v>
      </c>
      <c r="S1292" t="str">
        <f t="shared" si="41"/>
        <v>One-Time</v>
      </c>
    </row>
    <row r="1293" spans="1:19" ht="15" customHeight="1" x14ac:dyDescent="0.3">
      <c r="A1293">
        <v>1292</v>
      </c>
      <c r="B1293" t="s">
        <v>1763</v>
      </c>
      <c r="C1293">
        <v>6035246</v>
      </c>
      <c r="D1293" t="s">
        <v>114</v>
      </c>
      <c r="E1293">
        <v>27</v>
      </c>
      <c r="F1293" t="s">
        <v>75</v>
      </c>
      <c r="G1293" s="10">
        <v>45376</v>
      </c>
      <c r="H1293" t="s">
        <v>39</v>
      </c>
      <c r="I1293" t="s">
        <v>82</v>
      </c>
      <c r="J1293" t="s">
        <v>49</v>
      </c>
      <c r="K1293" t="s">
        <v>144</v>
      </c>
      <c r="L1293" t="s">
        <v>60</v>
      </c>
      <c r="M1293" t="s">
        <v>122</v>
      </c>
      <c r="N1293">
        <v>4</v>
      </c>
      <c r="O1293" t="s">
        <v>117</v>
      </c>
      <c r="P1293" s="11">
        <v>6000</v>
      </c>
      <c r="Q1293" t="s">
        <v>1764</v>
      </c>
      <c r="R1293" s="11">
        <f t="shared" si="40"/>
        <v>6000</v>
      </c>
      <c r="S1293" t="str">
        <f t="shared" si="41"/>
        <v>One-Time</v>
      </c>
    </row>
    <row r="1294" spans="1:19" ht="15" customHeight="1" x14ac:dyDescent="0.3">
      <c r="A1294">
        <v>1293</v>
      </c>
      <c r="B1294" t="s">
        <v>1765</v>
      </c>
      <c r="C1294">
        <v>5687079</v>
      </c>
      <c r="D1294" t="s">
        <v>114</v>
      </c>
      <c r="E1294">
        <v>75</v>
      </c>
      <c r="F1294" t="s">
        <v>77</v>
      </c>
      <c r="G1294" s="10">
        <v>45377</v>
      </c>
      <c r="H1294" t="s">
        <v>39</v>
      </c>
      <c r="I1294" t="s">
        <v>82</v>
      </c>
      <c r="J1294" t="s">
        <v>49</v>
      </c>
      <c r="K1294" t="s">
        <v>144</v>
      </c>
      <c r="L1294" t="s">
        <v>60</v>
      </c>
      <c r="M1294" t="s">
        <v>122</v>
      </c>
      <c r="N1294">
        <v>7</v>
      </c>
      <c r="O1294" t="s">
        <v>117</v>
      </c>
      <c r="P1294" s="11">
        <v>6000</v>
      </c>
      <c r="Q1294" t="s">
        <v>62</v>
      </c>
      <c r="R1294" s="11">
        <f t="shared" si="40"/>
        <v>6000</v>
      </c>
      <c r="S1294" t="str">
        <f t="shared" si="41"/>
        <v>One-Time</v>
      </c>
    </row>
    <row r="1295" spans="1:19" ht="15" customHeight="1" x14ac:dyDescent="0.3">
      <c r="A1295">
        <v>1294</v>
      </c>
      <c r="B1295" t="s">
        <v>1766</v>
      </c>
      <c r="C1295">
        <v>3334901</v>
      </c>
      <c r="D1295" t="s">
        <v>114</v>
      </c>
      <c r="E1295">
        <v>40</v>
      </c>
      <c r="F1295" t="s">
        <v>76</v>
      </c>
      <c r="G1295" s="10">
        <v>45378</v>
      </c>
      <c r="H1295" t="s">
        <v>39</v>
      </c>
      <c r="I1295" t="s">
        <v>82</v>
      </c>
      <c r="J1295" t="s">
        <v>49</v>
      </c>
      <c r="K1295" t="s">
        <v>144</v>
      </c>
      <c r="L1295" t="s">
        <v>60</v>
      </c>
      <c r="M1295" t="s">
        <v>122</v>
      </c>
      <c r="N1295">
        <v>8</v>
      </c>
      <c r="O1295" t="s">
        <v>117</v>
      </c>
      <c r="P1295" s="11">
        <v>6000</v>
      </c>
      <c r="Q1295" t="s">
        <v>1015</v>
      </c>
      <c r="R1295" s="11">
        <f t="shared" si="40"/>
        <v>6000</v>
      </c>
      <c r="S1295" t="str">
        <f t="shared" si="41"/>
        <v>One-Time</v>
      </c>
    </row>
    <row r="1296" spans="1:19" ht="15" customHeight="1" x14ac:dyDescent="0.3">
      <c r="A1296">
        <v>1295</v>
      </c>
      <c r="B1296" t="s">
        <v>1767</v>
      </c>
      <c r="C1296">
        <v>6920467</v>
      </c>
      <c r="D1296" t="s">
        <v>114</v>
      </c>
      <c r="E1296">
        <v>44</v>
      </c>
      <c r="F1296" t="s">
        <v>76</v>
      </c>
      <c r="G1296" s="10">
        <v>45379</v>
      </c>
      <c r="H1296" t="s">
        <v>39</v>
      </c>
      <c r="I1296" t="s">
        <v>82</v>
      </c>
      <c r="J1296" t="s">
        <v>49</v>
      </c>
      <c r="K1296" t="s">
        <v>144</v>
      </c>
      <c r="L1296" t="s">
        <v>60</v>
      </c>
      <c r="M1296" t="s">
        <v>122</v>
      </c>
      <c r="N1296">
        <v>9</v>
      </c>
      <c r="O1296" t="s">
        <v>117</v>
      </c>
      <c r="P1296" s="11">
        <v>6000</v>
      </c>
      <c r="Q1296" t="s">
        <v>214</v>
      </c>
      <c r="R1296" s="11">
        <f t="shared" si="40"/>
        <v>6000</v>
      </c>
      <c r="S1296" t="str">
        <f t="shared" si="41"/>
        <v>Repeat</v>
      </c>
    </row>
    <row r="1297" spans="1:19" ht="15" customHeight="1" x14ac:dyDescent="0.3">
      <c r="A1297">
        <v>1296</v>
      </c>
      <c r="B1297" t="s">
        <v>1767</v>
      </c>
      <c r="C1297">
        <v>6920467</v>
      </c>
      <c r="D1297" t="s">
        <v>114</v>
      </c>
      <c r="E1297">
        <v>57</v>
      </c>
      <c r="F1297" t="s">
        <v>77</v>
      </c>
      <c r="G1297" s="10">
        <v>45380</v>
      </c>
      <c r="H1297" t="s">
        <v>39</v>
      </c>
      <c r="I1297" t="s">
        <v>82</v>
      </c>
      <c r="J1297" t="s">
        <v>49</v>
      </c>
      <c r="K1297" t="s">
        <v>144</v>
      </c>
      <c r="L1297" t="s">
        <v>60</v>
      </c>
      <c r="M1297" t="s">
        <v>122</v>
      </c>
      <c r="N1297">
        <v>7</v>
      </c>
      <c r="O1297" t="s">
        <v>117</v>
      </c>
      <c r="P1297" s="11">
        <v>6000</v>
      </c>
      <c r="Q1297" t="s">
        <v>300</v>
      </c>
      <c r="R1297" s="11">
        <f t="shared" si="40"/>
        <v>6000</v>
      </c>
      <c r="S1297" t="str">
        <f t="shared" si="41"/>
        <v>Repeat</v>
      </c>
    </row>
    <row r="1298" spans="1:19" ht="15" customHeight="1" x14ac:dyDescent="0.3">
      <c r="A1298">
        <v>1297</v>
      </c>
      <c r="B1298" t="s">
        <v>1768</v>
      </c>
      <c r="C1298">
        <v>3698261</v>
      </c>
      <c r="D1298" t="s">
        <v>114</v>
      </c>
      <c r="E1298">
        <v>41</v>
      </c>
      <c r="F1298" t="s">
        <v>76</v>
      </c>
      <c r="G1298" s="10">
        <v>45381</v>
      </c>
      <c r="H1298" t="s">
        <v>39</v>
      </c>
      <c r="I1298" t="s">
        <v>82</v>
      </c>
      <c r="J1298" t="s">
        <v>49</v>
      </c>
      <c r="K1298" t="s">
        <v>144</v>
      </c>
      <c r="L1298" t="s">
        <v>60</v>
      </c>
      <c r="M1298" t="s">
        <v>122</v>
      </c>
      <c r="N1298">
        <v>6</v>
      </c>
      <c r="O1298" t="s">
        <v>117</v>
      </c>
      <c r="P1298" s="11">
        <v>6000</v>
      </c>
      <c r="Q1298" t="s">
        <v>62</v>
      </c>
      <c r="R1298" s="11">
        <f t="shared" si="40"/>
        <v>6000</v>
      </c>
      <c r="S1298" t="str">
        <f t="shared" si="41"/>
        <v>One-Time</v>
      </c>
    </row>
    <row r="1299" spans="1:19" ht="15" customHeight="1" x14ac:dyDescent="0.3">
      <c r="A1299">
        <v>1298</v>
      </c>
      <c r="B1299" t="s">
        <v>1769</v>
      </c>
      <c r="C1299">
        <v>4288404</v>
      </c>
      <c r="D1299" t="s">
        <v>114</v>
      </c>
      <c r="E1299">
        <v>18</v>
      </c>
      <c r="F1299" t="s">
        <v>75</v>
      </c>
      <c r="G1299" s="10">
        <v>45382</v>
      </c>
      <c r="H1299" t="s">
        <v>39</v>
      </c>
      <c r="I1299" t="s">
        <v>82</v>
      </c>
      <c r="J1299" t="s">
        <v>49</v>
      </c>
      <c r="K1299" t="s">
        <v>144</v>
      </c>
      <c r="L1299" t="s">
        <v>60</v>
      </c>
      <c r="M1299" t="s">
        <v>315</v>
      </c>
      <c r="N1299">
        <v>2</v>
      </c>
      <c r="O1299" t="s">
        <v>117</v>
      </c>
      <c r="P1299" s="11">
        <v>6000</v>
      </c>
      <c r="Q1299" t="s">
        <v>552</v>
      </c>
      <c r="R1299" s="11">
        <f t="shared" si="40"/>
        <v>6000</v>
      </c>
      <c r="S1299" t="str">
        <f t="shared" si="41"/>
        <v>One-Time</v>
      </c>
    </row>
    <row r="1300" spans="1:19" ht="15" customHeight="1" x14ac:dyDescent="0.3">
      <c r="A1300">
        <v>1299</v>
      </c>
      <c r="B1300" t="s">
        <v>1770</v>
      </c>
      <c r="C1300">
        <v>9156153</v>
      </c>
      <c r="D1300" t="s">
        <v>114</v>
      </c>
      <c r="E1300">
        <v>72</v>
      </c>
      <c r="F1300" t="s">
        <v>77</v>
      </c>
      <c r="G1300" s="10">
        <v>45383</v>
      </c>
      <c r="H1300" t="s">
        <v>40</v>
      </c>
      <c r="I1300" t="s">
        <v>82</v>
      </c>
      <c r="J1300" t="s">
        <v>49</v>
      </c>
      <c r="K1300" t="s">
        <v>144</v>
      </c>
      <c r="L1300" t="s">
        <v>60</v>
      </c>
      <c r="M1300" t="s">
        <v>315</v>
      </c>
      <c r="N1300">
        <v>8</v>
      </c>
      <c r="O1300" t="s">
        <v>117</v>
      </c>
      <c r="P1300" s="11">
        <v>6000</v>
      </c>
      <c r="Q1300" t="s">
        <v>62</v>
      </c>
      <c r="R1300" s="11">
        <f t="shared" si="40"/>
        <v>6000</v>
      </c>
      <c r="S1300" t="str">
        <f t="shared" si="41"/>
        <v>One-Time</v>
      </c>
    </row>
    <row r="1301" spans="1:19" ht="15" customHeight="1" x14ac:dyDescent="0.3">
      <c r="A1301">
        <v>1300</v>
      </c>
      <c r="B1301" t="s">
        <v>1771</v>
      </c>
      <c r="C1301">
        <v>906395</v>
      </c>
      <c r="D1301" t="s">
        <v>114</v>
      </c>
      <c r="E1301">
        <v>36</v>
      </c>
      <c r="F1301" t="s">
        <v>76</v>
      </c>
      <c r="G1301" s="10">
        <v>45384</v>
      </c>
      <c r="H1301" t="s">
        <v>40</v>
      </c>
      <c r="I1301" t="s">
        <v>82</v>
      </c>
      <c r="J1301" t="s">
        <v>49</v>
      </c>
      <c r="K1301" t="s">
        <v>144</v>
      </c>
      <c r="L1301" t="s">
        <v>60</v>
      </c>
      <c r="M1301" t="s">
        <v>315</v>
      </c>
      <c r="N1301">
        <v>4</v>
      </c>
      <c r="O1301" t="s">
        <v>117</v>
      </c>
      <c r="P1301" s="11">
        <v>6000</v>
      </c>
      <c r="Q1301" t="s">
        <v>454</v>
      </c>
      <c r="R1301" s="11">
        <f t="shared" si="40"/>
        <v>6000</v>
      </c>
      <c r="S1301" t="str">
        <f t="shared" si="41"/>
        <v>One-Time</v>
      </c>
    </row>
    <row r="1302" spans="1:19" ht="15" customHeight="1" x14ac:dyDescent="0.3">
      <c r="A1302">
        <v>1301</v>
      </c>
      <c r="B1302" t="s">
        <v>1772</v>
      </c>
      <c r="C1302">
        <v>723620</v>
      </c>
      <c r="D1302" t="s">
        <v>114</v>
      </c>
      <c r="E1302">
        <v>66</v>
      </c>
      <c r="F1302" t="s">
        <v>77</v>
      </c>
      <c r="G1302" s="10">
        <v>45385</v>
      </c>
      <c r="H1302" t="s">
        <v>40</v>
      </c>
      <c r="I1302" t="s">
        <v>82</v>
      </c>
      <c r="J1302" t="s">
        <v>49</v>
      </c>
      <c r="K1302" t="s">
        <v>144</v>
      </c>
      <c r="L1302" t="s">
        <v>60</v>
      </c>
      <c r="M1302" t="s">
        <v>315</v>
      </c>
      <c r="N1302">
        <v>6</v>
      </c>
      <c r="O1302" t="s">
        <v>117</v>
      </c>
      <c r="P1302" s="11">
        <v>6000</v>
      </c>
      <c r="Q1302" t="s">
        <v>454</v>
      </c>
      <c r="R1302" s="11">
        <f t="shared" si="40"/>
        <v>6000</v>
      </c>
      <c r="S1302" t="str">
        <f t="shared" si="41"/>
        <v>One-Time</v>
      </c>
    </row>
    <row r="1303" spans="1:19" ht="15" customHeight="1" x14ac:dyDescent="0.3">
      <c r="A1303">
        <v>1302</v>
      </c>
      <c r="B1303" t="s">
        <v>1773</v>
      </c>
      <c r="C1303">
        <v>2273092</v>
      </c>
      <c r="D1303" t="s">
        <v>114</v>
      </c>
      <c r="E1303">
        <v>20</v>
      </c>
      <c r="F1303" t="s">
        <v>75</v>
      </c>
      <c r="G1303" s="10">
        <v>45386</v>
      </c>
      <c r="H1303" t="s">
        <v>40</v>
      </c>
      <c r="I1303" t="s">
        <v>82</v>
      </c>
      <c r="J1303" t="s">
        <v>49</v>
      </c>
      <c r="K1303" t="s">
        <v>144</v>
      </c>
      <c r="L1303" t="s">
        <v>60</v>
      </c>
      <c r="M1303" t="s">
        <v>315</v>
      </c>
      <c r="N1303">
        <v>5</v>
      </c>
      <c r="O1303" t="s">
        <v>117</v>
      </c>
      <c r="P1303" s="11">
        <v>5900</v>
      </c>
      <c r="Q1303" t="s">
        <v>63</v>
      </c>
      <c r="R1303" s="11">
        <f t="shared" si="40"/>
        <v>5900</v>
      </c>
      <c r="S1303" t="str">
        <f t="shared" si="41"/>
        <v>One-Time</v>
      </c>
    </row>
    <row r="1304" spans="1:19" ht="15" customHeight="1" x14ac:dyDescent="0.3">
      <c r="A1304">
        <v>1303</v>
      </c>
      <c r="B1304" t="s">
        <v>1774</v>
      </c>
      <c r="C1304">
        <v>3012152</v>
      </c>
      <c r="D1304" t="s">
        <v>114</v>
      </c>
      <c r="E1304">
        <v>25</v>
      </c>
      <c r="F1304" t="s">
        <v>75</v>
      </c>
      <c r="G1304" s="10">
        <v>45387</v>
      </c>
      <c r="H1304" t="s">
        <v>40</v>
      </c>
      <c r="I1304" t="s">
        <v>82</v>
      </c>
      <c r="J1304" t="s">
        <v>49</v>
      </c>
      <c r="K1304" t="s">
        <v>144</v>
      </c>
      <c r="L1304" t="s">
        <v>60</v>
      </c>
      <c r="M1304" t="s">
        <v>315</v>
      </c>
      <c r="N1304">
        <v>23</v>
      </c>
      <c r="O1304" t="s">
        <v>117</v>
      </c>
      <c r="P1304" s="11">
        <v>5900</v>
      </c>
      <c r="Q1304" t="s">
        <v>66</v>
      </c>
      <c r="R1304" s="11">
        <f t="shared" si="40"/>
        <v>5900</v>
      </c>
      <c r="S1304" t="str">
        <f t="shared" si="41"/>
        <v>One-Time</v>
      </c>
    </row>
    <row r="1305" spans="1:19" ht="15" customHeight="1" x14ac:dyDescent="0.3">
      <c r="A1305">
        <v>1304</v>
      </c>
      <c r="B1305" t="s">
        <v>1775</v>
      </c>
      <c r="C1305">
        <v>9259471</v>
      </c>
      <c r="D1305" t="s">
        <v>114</v>
      </c>
      <c r="E1305">
        <v>40</v>
      </c>
      <c r="F1305" t="s">
        <v>76</v>
      </c>
      <c r="G1305" s="10">
        <v>45388</v>
      </c>
      <c r="H1305" t="s">
        <v>40</v>
      </c>
      <c r="I1305" t="s">
        <v>82</v>
      </c>
      <c r="J1305" t="s">
        <v>49</v>
      </c>
      <c r="K1305" t="s">
        <v>142</v>
      </c>
      <c r="L1305" t="s">
        <v>60</v>
      </c>
      <c r="M1305" t="s">
        <v>315</v>
      </c>
      <c r="N1305">
        <v>2</v>
      </c>
      <c r="O1305" t="s">
        <v>117</v>
      </c>
      <c r="P1305" s="11">
        <v>5900</v>
      </c>
      <c r="Q1305" t="s">
        <v>414</v>
      </c>
      <c r="R1305" s="11">
        <f t="shared" si="40"/>
        <v>5900</v>
      </c>
      <c r="S1305" t="str">
        <f t="shared" si="41"/>
        <v>One-Time</v>
      </c>
    </row>
    <row r="1306" spans="1:19" ht="15" customHeight="1" x14ac:dyDescent="0.3">
      <c r="A1306">
        <v>1305</v>
      </c>
      <c r="B1306" t="s">
        <v>1776</v>
      </c>
      <c r="C1306">
        <v>1302840</v>
      </c>
      <c r="D1306" t="s">
        <v>114</v>
      </c>
      <c r="E1306">
        <v>45</v>
      </c>
      <c r="F1306" t="s">
        <v>76</v>
      </c>
      <c r="G1306" s="10">
        <v>45389</v>
      </c>
      <c r="H1306" t="s">
        <v>40</v>
      </c>
      <c r="I1306" t="s">
        <v>82</v>
      </c>
      <c r="J1306" t="s">
        <v>49</v>
      </c>
      <c r="K1306" t="s">
        <v>142</v>
      </c>
      <c r="L1306" t="s">
        <v>60</v>
      </c>
      <c r="M1306" t="s">
        <v>315</v>
      </c>
      <c r="N1306">
        <v>5</v>
      </c>
      <c r="O1306" t="s">
        <v>117</v>
      </c>
      <c r="P1306" s="11">
        <v>5900</v>
      </c>
      <c r="Q1306" t="s">
        <v>62</v>
      </c>
      <c r="R1306" s="11">
        <f t="shared" si="40"/>
        <v>5900</v>
      </c>
      <c r="S1306" t="str">
        <f t="shared" si="41"/>
        <v>One-Time</v>
      </c>
    </row>
    <row r="1307" spans="1:19" ht="15" customHeight="1" x14ac:dyDescent="0.3">
      <c r="A1307">
        <v>1306</v>
      </c>
      <c r="B1307" t="s">
        <v>1777</v>
      </c>
      <c r="C1307">
        <v>1876196</v>
      </c>
      <c r="D1307" t="s">
        <v>114</v>
      </c>
      <c r="E1307">
        <v>43</v>
      </c>
      <c r="F1307" t="s">
        <v>76</v>
      </c>
      <c r="G1307" s="10">
        <v>45390</v>
      </c>
      <c r="H1307" t="s">
        <v>40</v>
      </c>
      <c r="I1307" t="s">
        <v>82</v>
      </c>
      <c r="J1307" t="s">
        <v>49</v>
      </c>
      <c r="K1307" t="s">
        <v>142</v>
      </c>
      <c r="L1307" t="s">
        <v>60</v>
      </c>
      <c r="M1307" t="s">
        <v>315</v>
      </c>
      <c r="N1307">
        <v>9</v>
      </c>
      <c r="O1307" t="s">
        <v>117</v>
      </c>
      <c r="P1307" s="11">
        <v>5900</v>
      </c>
      <c r="Q1307" t="s">
        <v>781</v>
      </c>
      <c r="R1307" s="11">
        <f t="shared" si="40"/>
        <v>5900</v>
      </c>
      <c r="S1307" t="str">
        <f t="shared" si="41"/>
        <v>One-Time</v>
      </c>
    </row>
    <row r="1308" spans="1:19" ht="15" customHeight="1" x14ac:dyDescent="0.3">
      <c r="A1308">
        <v>1307</v>
      </c>
      <c r="B1308" t="s">
        <v>1778</v>
      </c>
      <c r="C1308">
        <v>4476173</v>
      </c>
      <c r="D1308" t="s">
        <v>392</v>
      </c>
      <c r="E1308">
        <v>51</v>
      </c>
      <c r="F1308" t="s">
        <v>77</v>
      </c>
      <c r="G1308" s="10">
        <v>45391</v>
      </c>
      <c r="H1308" t="s">
        <v>40</v>
      </c>
      <c r="I1308" t="s">
        <v>82</v>
      </c>
      <c r="J1308" t="s">
        <v>49</v>
      </c>
      <c r="K1308" t="s">
        <v>142</v>
      </c>
      <c r="L1308" t="s">
        <v>60</v>
      </c>
      <c r="M1308" t="s">
        <v>315</v>
      </c>
      <c r="N1308">
        <v>27</v>
      </c>
      <c r="O1308" t="s">
        <v>117</v>
      </c>
      <c r="P1308" s="11">
        <v>5900</v>
      </c>
      <c r="Q1308" t="s">
        <v>64</v>
      </c>
      <c r="R1308" s="11">
        <f t="shared" si="40"/>
        <v>5900</v>
      </c>
      <c r="S1308" t="str">
        <f t="shared" si="41"/>
        <v>One-Time</v>
      </c>
    </row>
    <row r="1309" spans="1:19" ht="15" customHeight="1" x14ac:dyDescent="0.3">
      <c r="A1309">
        <v>1308</v>
      </c>
      <c r="B1309" t="s">
        <v>1779</v>
      </c>
      <c r="C1309">
        <v>4491955</v>
      </c>
      <c r="D1309" t="s">
        <v>392</v>
      </c>
      <c r="E1309">
        <v>23</v>
      </c>
      <c r="F1309" t="s">
        <v>75</v>
      </c>
      <c r="G1309" s="10">
        <v>45392</v>
      </c>
      <c r="H1309" t="s">
        <v>40</v>
      </c>
      <c r="I1309" t="s">
        <v>82</v>
      </c>
      <c r="J1309" t="s">
        <v>49</v>
      </c>
      <c r="K1309" t="s">
        <v>142</v>
      </c>
      <c r="L1309" t="s">
        <v>60</v>
      </c>
      <c r="M1309" t="s">
        <v>315</v>
      </c>
      <c r="N1309">
        <v>6</v>
      </c>
      <c r="O1309" t="s">
        <v>117</v>
      </c>
      <c r="P1309" s="11">
        <v>5900</v>
      </c>
      <c r="Q1309" t="s">
        <v>485</v>
      </c>
      <c r="R1309" s="11">
        <f t="shared" si="40"/>
        <v>5900</v>
      </c>
      <c r="S1309" t="str">
        <f t="shared" si="41"/>
        <v>One-Time</v>
      </c>
    </row>
    <row r="1310" spans="1:19" ht="15" customHeight="1" x14ac:dyDescent="0.3">
      <c r="A1310">
        <v>1309</v>
      </c>
      <c r="B1310" t="s">
        <v>1780</v>
      </c>
      <c r="C1310">
        <v>1796463</v>
      </c>
      <c r="D1310" t="s">
        <v>114</v>
      </c>
      <c r="E1310">
        <v>33</v>
      </c>
      <c r="F1310" t="s">
        <v>76</v>
      </c>
      <c r="G1310" s="10">
        <v>45393</v>
      </c>
      <c r="H1310" t="s">
        <v>40</v>
      </c>
      <c r="I1310" t="s">
        <v>82</v>
      </c>
      <c r="J1310" t="s">
        <v>49</v>
      </c>
      <c r="K1310" t="s">
        <v>142</v>
      </c>
      <c r="L1310" t="s">
        <v>60</v>
      </c>
      <c r="M1310" t="s">
        <v>315</v>
      </c>
      <c r="N1310">
        <v>6</v>
      </c>
      <c r="O1310" t="s">
        <v>117</v>
      </c>
      <c r="P1310" s="11">
        <v>5900</v>
      </c>
      <c r="Q1310" t="s">
        <v>1781</v>
      </c>
      <c r="R1310" s="11">
        <f t="shared" si="40"/>
        <v>5900</v>
      </c>
      <c r="S1310" t="str">
        <f t="shared" si="41"/>
        <v>One-Time</v>
      </c>
    </row>
    <row r="1311" spans="1:19" ht="15" customHeight="1" x14ac:dyDescent="0.3">
      <c r="A1311">
        <v>1310</v>
      </c>
      <c r="B1311" t="s">
        <v>1782</v>
      </c>
      <c r="C1311">
        <v>7829542</v>
      </c>
      <c r="D1311" t="s">
        <v>392</v>
      </c>
      <c r="E1311">
        <v>26</v>
      </c>
      <c r="F1311" t="s">
        <v>75</v>
      </c>
      <c r="G1311" s="10">
        <v>45394</v>
      </c>
      <c r="H1311" t="s">
        <v>40</v>
      </c>
      <c r="I1311" t="s">
        <v>82</v>
      </c>
      <c r="J1311" t="s">
        <v>49</v>
      </c>
      <c r="K1311" t="s">
        <v>142</v>
      </c>
      <c r="L1311" t="s">
        <v>60</v>
      </c>
      <c r="M1311" t="s">
        <v>315</v>
      </c>
      <c r="N1311">
        <v>2</v>
      </c>
      <c r="O1311" t="s">
        <v>117</v>
      </c>
      <c r="P1311" s="11">
        <v>5900</v>
      </c>
      <c r="Q1311" t="s">
        <v>1783</v>
      </c>
      <c r="R1311" s="11">
        <f t="shared" si="40"/>
        <v>5900</v>
      </c>
      <c r="S1311" t="str">
        <f t="shared" si="41"/>
        <v>One-Time</v>
      </c>
    </row>
    <row r="1312" spans="1:19" ht="15" customHeight="1" x14ac:dyDescent="0.3">
      <c r="A1312">
        <v>1311</v>
      </c>
      <c r="B1312" t="s">
        <v>1784</v>
      </c>
      <c r="C1312">
        <v>186588</v>
      </c>
      <c r="D1312" t="s">
        <v>114</v>
      </c>
      <c r="E1312">
        <v>26</v>
      </c>
      <c r="F1312" t="s">
        <v>75</v>
      </c>
      <c r="G1312" s="10">
        <v>45395</v>
      </c>
      <c r="H1312" t="s">
        <v>40</v>
      </c>
      <c r="I1312" t="s">
        <v>82</v>
      </c>
      <c r="J1312" t="s">
        <v>49</v>
      </c>
      <c r="K1312" t="s">
        <v>142</v>
      </c>
      <c r="L1312" t="s">
        <v>60</v>
      </c>
      <c r="M1312" t="s">
        <v>315</v>
      </c>
      <c r="N1312">
        <v>32</v>
      </c>
      <c r="O1312" t="s">
        <v>117</v>
      </c>
      <c r="P1312" s="11">
        <v>5900</v>
      </c>
      <c r="Q1312" t="s">
        <v>66</v>
      </c>
      <c r="R1312" s="11">
        <f t="shared" si="40"/>
        <v>5900</v>
      </c>
      <c r="S1312" t="str">
        <f t="shared" si="41"/>
        <v>One-Time</v>
      </c>
    </row>
    <row r="1313" spans="1:19" ht="15" customHeight="1" x14ac:dyDescent="0.3">
      <c r="A1313">
        <v>1312</v>
      </c>
      <c r="B1313" t="s">
        <v>1785</v>
      </c>
      <c r="C1313">
        <v>5873849</v>
      </c>
      <c r="D1313" t="s">
        <v>114</v>
      </c>
      <c r="E1313">
        <v>37</v>
      </c>
      <c r="F1313" t="s">
        <v>76</v>
      </c>
      <c r="G1313" s="10">
        <v>45396</v>
      </c>
      <c r="H1313" t="s">
        <v>40</v>
      </c>
      <c r="I1313" t="s">
        <v>82</v>
      </c>
      <c r="J1313" t="s">
        <v>49</v>
      </c>
      <c r="K1313" t="s">
        <v>142</v>
      </c>
      <c r="L1313" t="s">
        <v>60</v>
      </c>
      <c r="M1313" t="s">
        <v>315</v>
      </c>
      <c r="N1313">
        <v>3</v>
      </c>
      <c r="O1313" t="s">
        <v>117</v>
      </c>
      <c r="P1313" s="11">
        <v>5900</v>
      </c>
      <c r="Q1313" t="s">
        <v>319</v>
      </c>
      <c r="R1313" s="11">
        <f t="shared" si="40"/>
        <v>5900</v>
      </c>
      <c r="S1313" t="str">
        <f t="shared" si="41"/>
        <v>One-Time</v>
      </c>
    </row>
    <row r="1314" spans="1:19" ht="15" customHeight="1" x14ac:dyDescent="0.3">
      <c r="A1314">
        <v>1313</v>
      </c>
      <c r="B1314" t="s">
        <v>1786</v>
      </c>
      <c r="C1314">
        <v>3993353</v>
      </c>
      <c r="D1314" t="s">
        <v>392</v>
      </c>
      <c r="E1314">
        <v>26</v>
      </c>
      <c r="F1314" t="s">
        <v>75</v>
      </c>
      <c r="G1314" s="10">
        <v>45397</v>
      </c>
      <c r="H1314" t="s">
        <v>40</v>
      </c>
      <c r="I1314" t="s">
        <v>82</v>
      </c>
      <c r="J1314" t="s">
        <v>49</v>
      </c>
      <c r="K1314" t="s">
        <v>142</v>
      </c>
      <c r="L1314" t="s">
        <v>60</v>
      </c>
      <c r="M1314" t="s">
        <v>315</v>
      </c>
      <c r="N1314">
        <v>48</v>
      </c>
      <c r="O1314" t="s">
        <v>117</v>
      </c>
      <c r="P1314" s="11">
        <v>5900</v>
      </c>
      <c r="Q1314" t="s">
        <v>1787</v>
      </c>
      <c r="R1314" s="11">
        <f t="shared" si="40"/>
        <v>5900</v>
      </c>
      <c r="S1314" t="str">
        <f t="shared" si="41"/>
        <v>One-Time</v>
      </c>
    </row>
    <row r="1315" spans="1:19" ht="15" customHeight="1" x14ac:dyDescent="0.3">
      <c r="A1315">
        <v>1314</v>
      </c>
      <c r="B1315" t="s">
        <v>1788</v>
      </c>
      <c r="C1315">
        <v>1857124</v>
      </c>
      <c r="D1315" t="s">
        <v>392</v>
      </c>
      <c r="E1315">
        <v>41</v>
      </c>
      <c r="F1315" t="s">
        <v>76</v>
      </c>
      <c r="G1315" s="10">
        <v>45398</v>
      </c>
      <c r="H1315" t="s">
        <v>40</v>
      </c>
      <c r="I1315" t="s">
        <v>82</v>
      </c>
      <c r="J1315" t="s">
        <v>49</v>
      </c>
      <c r="K1315" t="s">
        <v>142</v>
      </c>
      <c r="L1315" t="s">
        <v>60</v>
      </c>
      <c r="M1315" t="s">
        <v>315</v>
      </c>
      <c r="N1315">
        <v>5</v>
      </c>
      <c r="O1315" t="s">
        <v>117</v>
      </c>
      <c r="P1315" s="11">
        <v>5900</v>
      </c>
      <c r="Q1315" t="s">
        <v>1555</v>
      </c>
      <c r="R1315" s="11">
        <f t="shared" si="40"/>
        <v>5900</v>
      </c>
      <c r="S1315" t="str">
        <f t="shared" si="41"/>
        <v>One-Time</v>
      </c>
    </row>
    <row r="1316" spans="1:19" ht="15" customHeight="1" x14ac:dyDescent="0.3">
      <c r="A1316">
        <v>1315</v>
      </c>
      <c r="B1316" t="s">
        <v>1789</v>
      </c>
      <c r="C1316">
        <v>9626926</v>
      </c>
      <c r="D1316" t="s">
        <v>392</v>
      </c>
      <c r="E1316">
        <v>40</v>
      </c>
      <c r="F1316" t="s">
        <v>76</v>
      </c>
      <c r="G1316" s="10">
        <v>45399</v>
      </c>
      <c r="H1316" t="s">
        <v>40</v>
      </c>
      <c r="I1316" t="s">
        <v>82</v>
      </c>
      <c r="J1316" t="s">
        <v>49</v>
      </c>
      <c r="K1316" t="s">
        <v>142</v>
      </c>
      <c r="L1316" t="s">
        <v>60</v>
      </c>
      <c r="M1316" t="s">
        <v>315</v>
      </c>
      <c r="N1316">
        <v>2</v>
      </c>
      <c r="O1316" t="s">
        <v>117</v>
      </c>
      <c r="P1316" s="11">
        <v>5900</v>
      </c>
      <c r="Q1316" t="s">
        <v>65</v>
      </c>
      <c r="R1316" s="11">
        <f t="shared" si="40"/>
        <v>5900</v>
      </c>
      <c r="S1316" t="str">
        <f t="shared" si="41"/>
        <v>Repeat</v>
      </c>
    </row>
    <row r="1317" spans="1:19" ht="15" customHeight="1" x14ac:dyDescent="0.3">
      <c r="A1317">
        <v>1316</v>
      </c>
      <c r="B1317" t="s">
        <v>1789</v>
      </c>
      <c r="C1317">
        <v>9626926</v>
      </c>
      <c r="D1317" t="s">
        <v>114</v>
      </c>
      <c r="E1317">
        <v>45</v>
      </c>
      <c r="F1317" t="s">
        <v>76</v>
      </c>
      <c r="G1317" s="10">
        <v>45400</v>
      </c>
      <c r="H1317" t="s">
        <v>40</v>
      </c>
      <c r="I1317" t="s">
        <v>82</v>
      </c>
      <c r="J1317" t="s">
        <v>49</v>
      </c>
      <c r="K1317" t="s">
        <v>142</v>
      </c>
      <c r="L1317" t="s">
        <v>60</v>
      </c>
      <c r="M1317" t="s">
        <v>315</v>
      </c>
      <c r="N1317">
        <v>9</v>
      </c>
      <c r="O1317" t="s">
        <v>117</v>
      </c>
      <c r="P1317" s="11">
        <v>5900</v>
      </c>
      <c r="Q1317" t="s">
        <v>1790</v>
      </c>
      <c r="R1317" s="11">
        <f t="shared" si="40"/>
        <v>5900</v>
      </c>
      <c r="S1317" t="str">
        <f t="shared" si="41"/>
        <v>Repeat</v>
      </c>
    </row>
    <row r="1318" spans="1:19" ht="15" customHeight="1" x14ac:dyDescent="0.3">
      <c r="A1318">
        <v>1317</v>
      </c>
      <c r="B1318" t="s">
        <v>1791</v>
      </c>
      <c r="C1318">
        <v>1415968</v>
      </c>
      <c r="D1318" t="s">
        <v>114</v>
      </c>
      <c r="E1318">
        <v>54</v>
      </c>
      <c r="F1318" t="s">
        <v>77</v>
      </c>
      <c r="G1318" s="10">
        <v>45401</v>
      </c>
      <c r="H1318" t="s">
        <v>40</v>
      </c>
      <c r="I1318" t="s">
        <v>82</v>
      </c>
      <c r="J1318" t="s">
        <v>49</v>
      </c>
      <c r="K1318" t="s">
        <v>142</v>
      </c>
      <c r="L1318" t="s">
        <v>60</v>
      </c>
      <c r="M1318" t="s">
        <v>315</v>
      </c>
      <c r="N1318">
        <v>7</v>
      </c>
      <c r="O1318" t="s">
        <v>117</v>
      </c>
      <c r="P1318" s="11">
        <v>5900</v>
      </c>
      <c r="Q1318" t="s">
        <v>470</v>
      </c>
      <c r="R1318" s="11">
        <f t="shared" si="40"/>
        <v>5900</v>
      </c>
      <c r="S1318" t="str">
        <f t="shared" si="41"/>
        <v>One-Time</v>
      </c>
    </row>
    <row r="1319" spans="1:19" ht="15" customHeight="1" x14ac:dyDescent="0.3">
      <c r="A1319">
        <v>1318</v>
      </c>
      <c r="B1319" t="s">
        <v>1792</v>
      </c>
      <c r="C1319">
        <v>6627745</v>
      </c>
      <c r="D1319" t="s">
        <v>114</v>
      </c>
      <c r="E1319">
        <v>27</v>
      </c>
      <c r="F1319" t="s">
        <v>75</v>
      </c>
      <c r="G1319" s="10">
        <v>45402</v>
      </c>
      <c r="H1319" t="s">
        <v>40</v>
      </c>
      <c r="I1319" t="s">
        <v>82</v>
      </c>
      <c r="J1319" t="s">
        <v>49</v>
      </c>
      <c r="K1319" t="s">
        <v>142</v>
      </c>
      <c r="L1319" t="s">
        <v>60</v>
      </c>
      <c r="M1319" t="s">
        <v>315</v>
      </c>
      <c r="N1319">
        <v>2</v>
      </c>
      <c r="O1319" t="s">
        <v>117</v>
      </c>
      <c r="P1319" s="11">
        <v>5900</v>
      </c>
      <c r="Q1319" t="s">
        <v>1793</v>
      </c>
      <c r="R1319" s="11">
        <f t="shared" si="40"/>
        <v>5900</v>
      </c>
      <c r="S1319" t="str">
        <f t="shared" si="41"/>
        <v>One-Time</v>
      </c>
    </row>
    <row r="1320" spans="1:19" ht="15" customHeight="1" x14ac:dyDescent="0.3">
      <c r="A1320">
        <v>1319</v>
      </c>
      <c r="B1320" t="s">
        <v>1794</v>
      </c>
      <c r="C1320">
        <v>8703669</v>
      </c>
      <c r="D1320" t="s">
        <v>114</v>
      </c>
      <c r="E1320">
        <v>22</v>
      </c>
      <c r="F1320" t="s">
        <v>75</v>
      </c>
      <c r="G1320" s="10">
        <v>45403</v>
      </c>
      <c r="H1320" t="s">
        <v>40</v>
      </c>
      <c r="I1320" t="s">
        <v>82</v>
      </c>
      <c r="J1320" t="s">
        <v>49</v>
      </c>
      <c r="K1320" t="s">
        <v>142</v>
      </c>
      <c r="L1320" t="s">
        <v>60</v>
      </c>
      <c r="M1320" t="s">
        <v>122</v>
      </c>
      <c r="N1320">
        <v>8</v>
      </c>
      <c r="O1320" t="s">
        <v>117</v>
      </c>
      <c r="P1320" s="11">
        <v>5900</v>
      </c>
      <c r="Q1320" t="s">
        <v>1795</v>
      </c>
      <c r="R1320" s="11">
        <f t="shared" si="40"/>
        <v>5900</v>
      </c>
      <c r="S1320" t="str">
        <f t="shared" si="41"/>
        <v>One-Time</v>
      </c>
    </row>
    <row r="1321" spans="1:19" ht="15" customHeight="1" x14ac:dyDescent="0.3">
      <c r="A1321">
        <v>1320</v>
      </c>
      <c r="B1321" t="s">
        <v>1796</v>
      </c>
      <c r="C1321">
        <v>4343369</v>
      </c>
      <c r="D1321" t="s">
        <v>114</v>
      </c>
      <c r="E1321">
        <v>39</v>
      </c>
      <c r="F1321" t="s">
        <v>76</v>
      </c>
      <c r="G1321" s="10">
        <v>45404</v>
      </c>
      <c r="H1321" t="s">
        <v>40</v>
      </c>
      <c r="I1321" t="s">
        <v>82</v>
      </c>
      <c r="J1321" t="s">
        <v>49</v>
      </c>
      <c r="K1321" t="s">
        <v>142</v>
      </c>
      <c r="L1321" t="s">
        <v>60</v>
      </c>
      <c r="M1321" t="s">
        <v>122</v>
      </c>
      <c r="N1321">
        <v>4</v>
      </c>
      <c r="O1321" t="s">
        <v>117</v>
      </c>
      <c r="P1321" s="11">
        <v>5900</v>
      </c>
      <c r="Q1321" t="s">
        <v>67</v>
      </c>
      <c r="R1321" s="11">
        <f t="shared" si="40"/>
        <v>5900</v>
      </c>
      <c r="S1321" t="str">
        <f t="shared" si="41"/>
        <v>One-Time</v>
      </c>
    </row>
    <row r="1322" spans="1:19" ht="15" customHeight="1" x14ac:dyDescent="0.3">
      <c r="A1322">
        <v>1321</v>
      </c>
      <c r="B1322" t="s">
        <v>1797</v>
      </c>
      <c r="C1322">
        <v>8061913</v>
      </c>
      <c r="D1322" t="s">
        <v>114</v>
      </c>
      <c r="E1322">
        <v>40</v>
      </c>
      <c r="F1322" t="s">
        <v>76</v>
      </c>
      <c r="G1322" s="10">
        <v>45405</v>
      </c>
      <c r="H1322" t="s">
        <v>40</v>
      </c>
      <c r="I1322" t="s">
        <v>82</v>
      </c>
      <c r="J1322" t="s">
        <v>49</v>
      </c>
      <c r="K1322" t="s">
        <v>121</v>
      </c>
      <c r="L1322" t="s">
        <v>60</v>
      </c>
      <c r="M1322" t="s">
        <v>122</v>
      </c>
      <c r="N1322">
        <v>5</v>
      </c>
      <c r="O1322" t="s">
        <v>117</v>
      </c>
      <c r="P1322" s="11">
        <v>5900</v>
      </c>
      <c r="Q1322" t="s">
        <v>313</v>
      </c>
      <c r="R1322" s="11">
        <f t="shared" si="40"/>
        <v>5900</v>
      </c>
      <c r="S1322" t="str">
        <f t="shared" si="41"/>
        <v>One-Time</v>
      </c>
    </row>
    <row r="1323" spans="1:19" ht="15" customHeight="1" x14ac:dyDescent="0.3">
      <c r="A1323">
        <v>1322</v>
      </c>
      <c r="B1323" t="s">
        <v>1798</v>
      </c>
      <c r="C1323">
        <v>1461013</v>
      </c>
      <c r="D1323" t="s">
        <v>114</v>
      </c>
      <c r="E1323">
        <v>45</v>
      </c>
      <c r="F1323" t="s">
        <v>76</v>
      </c>
      <c r="G1323" s="10">
        <v>45406</v>
      </c>
      <c r="H1323" t="s">
        <v>40</v>
      </c>
      <c r="I1323" t="s">
        <v>82</v>
      </c>
      <c r="J1323" t="s">
        <v>49</v>
      </c>
      <c r="K1323" t="s">
        <v>121</v>
      </c>
      <c r="L1323" t="s">
        <v>60</v>
      </c>
      <c r="M1323" t="s">
        <v>122</v>
      </c>
      <c r="N1323">
        <v>6</v>
      </c>
      <c r="O1323" t="s">
        <v>117</v>
      </c>
      <c r="P1323" s="11">
        <v>5900</v>
      </c>
      <c r="Q1323" t="s">
        <v>62</v>
      </c>
      <c r="R1323" s="11">
        <f t="shared" si="40"/>
        <v>5900</v>
      </c>
      <c r="S1323" t="str">
        <f t="shared" si="41"/>
        <v>One-Time</v>
      </c>
    </row>
    <row r="1324" spans="1:19" ht="15" customHeight="1" x14ac:dyDescent="0.3">
      <c r="A1324">
        <v>1323</v>
      </c>
      <c r="B1324" t="s">
        <v>1799</v>
      </c>
      <c r="C1324">
        <v>7692743</v>
      </c>
      <c r="D1324" t="s">
        <v>114</v>
      </c>
      <c r="E1324">
        <v>27</v>
      </c>
      <c r="F1324" t="s">
        <v>75</v>
      </c>
      <c r="G1324" s="10">
        <v>45407</v>
      </c>
      <c r="H1324" t="s">
        <v>40</v>
      </c>
      <c r="I1324" t="s">
        <v>82</v>
      </c>
      <c r="J1324" t="s">
        <v>49</v>
      </c>
      <c r="K1324" t="s">
        <v>121</v>
      </c>
      <c r="L1324" t="s">
        <v>60</v>
      </c>
      <c r="M1324" t="s">
        <v>122</v>
      </c>
      <c r="N1324">
        <v>31</v>
      </c>
      <c r="O1324" t="s">
        <v>117</v>
      </c>
      <c r="P1324" s="11">
        <v>5900</v>
      </c>
      <c r="Q1324" t="s">
        <v>70</v>
      </c>
      <c r="R1324" s="11">
        <f t="shared" si="40"/>
        <v>5900</v>
      </c>
      <c r="S1324" t="str">
        <f t="shared" si="41"/>
        <v>One-Time</v>
      </c>
    </row>
    <row r="1325" spans="1:19" ht="15" customHeight="1" x14ac:dyDescent="0.3">
      <c r="A1325">
        <v>1324</v>
      </c>
      <c r="B1325" t="s">
        <v>1800</v>
      </c>
      <c r="C1325">
        <v>1974544</v>
      </c>
      <c r="D1325" t="s">
        <v>114</v>
      </c>
      <c r="E1325">
        <v>74</v>
      </c>
      <c r="F1325" t="s">
        <v>77</v>
      </c>
      <c r="G1325" s="10">
        <v>45408</v>
      </c>
      <c r="H1325" t="s">
        <v>40</v>
      </c>
      <c r="I1325" t="s">
        <v>82</v>
      </c>
      <c r="J1325" t="s">
        <v>49</v>
      </c>
      <c r="K1325" t="s">
        <v>121</v>
      </c>
      <c r="L1325" t="s">
        <v>60</v>
      </c>
      <c r="M1325" t="s">
        <v>122</v>
      </c>
      <c r="N1325">
        <v>2</v>
      </c>
      <c r="O1325" t="s">
        <v>117</v>
      </c>
      <c r="P1325" s="11">
        <v>5900</v>
      </c>
      <c r="Q1325" t="s">
        <v>1801</v>
      </c>
      <c r="R1325" s="11">
        <f t="shared" si="40"/>
        <v>5900</v>
      </c>
      <c r="S1325" t="str">
        <f t="shared" si="41"/>
        <v>One-Time</v>
      </c>
    </row>
    <row r="1326" spans="1:19" ht="15" customHeight="1" x14ac:dyDescent="0.3">
      <c r="A1326">
        <v>1325</v>
      </c>
      <c r="B1326" t="s">
        <v>1802</v>
      </c>
      <c r="C1326">
        <v>7274697</v>
      </c>
      <c r="D1326" t="s">
        <v>114</v>
      </c>
      <c r="E1326">
        <v>68</v>
      </c>
      <c r="F1326" t="s">
        <v>77</v>
      </c>
      <c r="G1326" s="10">
        <v>45409</v>
      </c>
      <c r="H1326" t="s">
        <v>40</v>
      </c>
      <c r="I1326" t="s">
        <v>82</v>
      </c>
      <c r="J1326" t="s">
        <v>49</v>
      </c>
      <c r="K1326" t="s">
        <v>121</v>
      </c>
      <c r="L1326" t="s">
        <v>60</v>
      </c>
      <c r="M1326" t="s">
        <v>122</v>
      </c>
      <c r="N1326">
        <v>5</v>
      </c>
      <c r="O1326" t="s">
        <v>117</v>
      </c>
      <c r="P1326" s="11">
        <v>5900</v>
      </c>
      <c r="Q1326" t="s">
        <v>65</v>
      </c>
      <c r="R1326" s="11">
        <f t="shared" si="40"/>
        <v>5900</v>
      </c>
      <c r="S1326" t="str">
        <f t="shared" si="41"/>
        <v>One-Time</v>
      </c>
    </row>
    <row r="1327" spans="1:19" ht="15" customHeight="1" x14ac:dyDescent="0.3">
      <c r="A1327">
        <v>1326</v>
      </c>
      <c r="B1327" t="s">
        <v>1803</v>
      </c>
      <c r="C1327">
        <v>2470566</v>
      </c>
      <c r="D1327" t="s">
        <v>114</v>
      </c>
      <c r="E1327">
        <v>41</v>
      </c>
      <c r="F1327" t="s">
        <v>76</v>
      </c>
      <c r="G1327" s="10">
        <v>45410</v>
      </c>
      <c r="H1327" t="s">
        <v>40</v>
      </c>
      <c r="I1327" t="s">
        <v>83</v>
      </c>
      <c r="J1327" t="s">
        <v>49</v>
      </c>
      <c r="K1327" t="s">
        <v>121</v>
      </c>
      <c r="L1327" t="s">
        <v>60</v>
      </c>
      <c r="M1327" t="s">
        <v>122</v>
      </c>
      <c r="N1327">
        <v>5</v>
      </c>
      <c r="O1327" t="s">
        <v>117</v>
      </c>
      <c r="P1327" s="11">
        <v>5900</v>
      </c>
      <c r="Q1327" t="s">
        <v>1804</v>
      </c>
      <c r="R1327" s="11">
        <f t="shared" si="40"/>
        <v>0</v>
      </c>
      <c r="S1327" t="str">
        <f t="shared" si="41"/>
        <v>One-Time</v>
      </c>
    </row>
    <row r="1328" spans="1:19" ht="15" customHeight="1" x14ac:dyDescent="0.3">
      <c r="A1328">
        <v>1327</v>
      </c>
      <c r="B1328" t="s">
        <v>1805</v>
      </c>
      <c r="C1328">
        <v>6374128</v>
      </c>
      <c r="D1328" t="s">
        <v>114</v>
      </c>
      <c r="E1328">
        <v>29</v>
      </c>
      <c r="F1328" t="s">
        <v>75</v>
      </c>
      <c r="G1328" s="10">
        <v>45411</v>
      </c>
      <c r="H1328" t="s">
        <v>40</v>
      </c>
      <c r="I1328" t="s">
        <v>82</v>
      </c>
      <c r="J1328" t="s">
        <v>49</v>
      </c>
      <c r="K1328" t="s">
        <v>121</v>
      </c>
      <c r="L1328" t="s">
        <v>60</v>
      </c>
      <c r="M1328" t="s">
        <v>122</v>
      </c>
      <c r="N1328">
        <v>8</v>
      </c>
      <c r="O1328" t="s">
        <v>117</v>
      </c>
      <c r="P1328" s="11">
        <v>5900</v>
      </c>
      <c r="Q1328" t="s">
        <v>1806</v>
      </c>
      <c r="R1328" s="11">
        <f t="shared" si="40"/>
        <v>5900</v>
      </c>
      <c r="S1328" t="str">
        <f t="shared" si="41"/>
        <v>One-Time</v>
      </c>
    </row>
    <row r="1329" spans="1:19" ht="15" customHeight="1" x14ac:dyDescent="0.3">
      <c r="A1329">
        <v>1328</v>
      </c>
      <c r="B1329" t="s">
        <v>1807</v>
      </c>
      <c r="C1329">
        <v>863695</v>
      </c>
      <c r="D1329" t="s">
        <v>114</v>
      </c>
      <c r="E1329">
        <v>31</v>
      </c>
      <c r="F1329" t="s">
        <v>76</v>
      </c>
      <c r="G1329" s="10">
        <v>45412</v>
      </c>
      <c r="H1329" t="s">
        <v>40</v>
      </c>
      <c r="I1329" t="s">
        <v>82</v>
      </c>
      <c r="J1329" t="s">
        <v>49</v>
      </c>
      <c r="K1329" t="s">
        <v>121</v>
      </c>
      <c r="L1329" t="s">
        <v>60</v>
      </c>
      <c r="M1329" t="s">
        <v>122</v>
      </c>
      <c r="N1329">
        <v>9</v>
      </c>
      <c r="O1329" t="s">
        <v>117</v>
      </c>
      <c r="P1329" s="11">
        <v>5900</v>
      </c>
      <c r="Q1329" t="s">
        <v>427</v>
      </c>
      <c r="R1329" s="11">
        <f t="shared" si="40"/>
        <v>5900</v>
      </c>
      <c r="S1329" t="str">
        <f t="shared" si="41"/>
        <v>One-Time</v>
      </c>
    </row>
    <row r="1330" spans="1:19" ht="15" customHeight="1" x14ac:dyDescent="0.3">
      <c r="A1330">
        <v>1329</v>
      </c>
      <c r="B1330" t="s">
        <v>1808</v>
      </c>
      <c r="C1330">
        <v>4798045</v>
      </c>
      <c r="D1330" t="s">
        <v>114</v>
      </c>
      <c r="E1330">
        <v>42</v>
      </c>
      <c r="F1330" t="s">
        <v>76</v>
      </c>
      <c r="G1330" s="10">
        <v>45413</v>
      </c>
      <c r="H1330" t="s">
        <v>41</v>
      </c>
      <c r="I1330" t="s">
        <v>85</v>
      </c>
      <c r="J1330" t="s">
        <v>49</v>
      </c>
      <c r="K1330" t="s">
        <v>121</v>
      </c>
      <c r="L1330" t="s">
        <v>60</v>
      </c>
      <c r="M1330" t="s">
        <v>122</v>
      </c>
      <c r="N1330">
        <v>4</v>
      </c>
      <c r="O1330" t="s">
        <v>117</v>
      </c>
      <c r="P1330" s="11">
        <v>5900</v>
      </c>
      <c r="Q1330" t="s">
        <v>1809</v>
      </c>
      <c r="R1330" s="11">
        <f t="shared" si="40"/>
        <v>0</v>
      </c>
      <c r="S1330" t="str">
        <f t="shared" si="41"/>
        <v>One-Time</v>
      </c>
    </row>
    <row r="1331" spans="1:19" ht="15" customHeight="1" x14ac:dyDescent="0.3">
      <c r="A1331">
        <v>1330</v>
      </c>
      <c r="B1331" t="s">
        <v>1810</v>
      </c>
      <c r="C1331">
        <v>556797</v>
      </c>
      <c r="D1331" t="s">
        <v>114</v>
      </c>
      <c r="E1331">
        <v>47</v>
      </c>
      <c r="F1331" t="s">
        <v>76</v>
      </c>
      <c r="G1331" s="10">
        <v>45414</v>
      </c>
      <c r="H1331" t="s">
        <v>41</v>
      </c>
      <c r="I1331" t="s">
        <v>82</v>
      </c>
      <c r="J1331" t="s">
        <v>51</v>
      </c>
      <c r="K1331" t="s">
        <v>121</v>
      </c>
      <c r="L1331" t="s">
        <v>60</v>
      </c>
      <c r="M1331" t="s">
        <v>122</v>
      </c>
      <c r="N1331">
        <v>7</v>
      </c>
      <c r="O1331" t="s">
        <v>117</v>
      </c>
      <c r="P1331" s="11">
        <v>5900</v>
      </c>
      <c r="Q1331" t="s">
        <v>64</v>
      </c>
      <c r="R1331" s="11">
        <f t="shared" si="40"/>
        <v>5900</v>
      </c>
      <c r="S1331" t="str">
        <f t="shared" si="41"/>
        <v>One-Time</v>
      </c>
    </row>
    <row r="1332" spans="1:19" ht="15" customHeight="1" x14ac:dyDescent="0.3">
      <c r="A1332">
        <v>1331</v>
      </c>
      <c r="B1332" t="s">
        <v>1811</v>
      </c>
      <c r="C1332">
        <v>8490472</v>
      </c>
      <c r="D1332" t="s">
        <v>114</v>
      </c>
      <c r="E1332">
        <v>24</v>
      </c>
      <c r="F1332" t="s">
        <v>75</v>
      </c>
      <c r="G1332" s="10">
        <v>45415</v>
      </c>
      <c r="H1332" t="s">
        <v>41</v>
      </c>
      <c r="I1332" t="s">
        <v>82</v>
      </c>
      <c r="J1332" t="s">
        <v>51</v>
      </c>
      <c r="K1332" t="s">
        <v>121</v>
      </c>
      <c r="L1332" t="s">
        <v>60</v>
      </c>
      <c r="M1332" t="s">
        <v>122</v>
      </c>
      <c r="N1332">
        <v>8</v>
      </c>
      <c r="O1332" t="s">
        <v>117</v>
      </c>
      <c r="P1332" s="11">
        <v>5900</v>
      </c>
      <c r="Q1332" t="s">
        <v>145</v>
      </c>
      <c r="R1332" s="11">
        <f t="shared" si="40"/>
        <v>5900</v>
      </c>
      <c r="S1332" t="str">
        <f t="shared" si="41"/>
        <v>One-Time</v>
      </c>
    </row>
    <row r="1333" spans="1:19" ht="15" customHeight="1" x14ac:dyDescent="0.3">
      <c r="A1333">
        <v>1332</v>
      </c>
      <c r="B1333" t="s">
        <v>1812</v>
      </c>
      <c r="C1333">
        <v>8775744</v>
      </c>
      <c r="D1333" t="s">
        <v>114</v>
      </c>
      <c r="E1333">
        <v>27</v>
      </c>
      <c r="F1333" t="s">
        <v>75</v>
      </c>
      <c r="G1333" s="10">
        <v>45416</v>
      </c>
      <c r="H1333" t="s">
        <v>41</v>
      </c>
      <c r="I1333" t="s">
        <v>82</v>
      </c>
      <c r="J1333" t="s">
        <v>51</v>
      </c>
      <c r="K1333" t="s">
        <v>121</v>
      </c>
      <c r="L1333" t="s">
        <v>60</v>
      </c>
      <c r="M1333" t="s">
        <v>122</v>
      </c>
      <c r="N1333">
        <v>32</v>
      </c>
      <c r="O1333" t="s">
        <v>117</v>
      </c>
      <c r="P1333" s="11">
        <v>5900</v>
      </c>
      <c r="Q1333" t="s">
        <v>66</v>
      </c>
      <c r="R1333" s="11">
        <f t="shared" si="40"/>
        <v>5900</v>
      </c>
      <c r="S1333" t="str">
        <f t="shared" si="41"/>
        <v>One-Time</v>
      </c>
    </row>
    <row r="1334" spans="1:19" ht="15" customHeight="1" x14ac:dyDescent="0.3">
      <c r="A1334">
        <v>1333</v>
      </c>
      <c r="B1334" t="s">
        <v>1813</v>
      </c>
      <c r="C1334">
        <v>7924642</v>
      </c>
      <c r="D1334" t="s">
        <v>114</v>
      </c>
      <c r="E1334">
        <v>43</v>
      </c>
      <c r="F1334" t="s">
        <v>76</v>
      </c>
      <c r="G1334" s="10">
        <v>45417</v>
      </c>
      <c r="H1334" t="s">
        <v>41</v>
      </c>
      <c r="I1334" t="s">
        <v>82</v>
      </c>
      <c r="J1334" t="s">
        <v>51</v>
      </c>
      <c r="K1334" t="s">
        <v>121</v>
      </c>
      <c r="L1334" t="s">
        <v>60</v>
      </c>
      <c r="M1334" t="s">
        <v>122</v>
      </c>
      <c r="N1334">
        <v>3</v>
      </c>
      <c r="O1334" t="s">
        <v>117</v>
      </c>
      <c r="P1334" s="11">
        <v>5900</v>
      </c>
      <c r="Q1334" t="s">
        <v>66</v>
      </c>
      <c r="R1334" s="11">
        <f t="shared" si="40"/>
        <v>5900</v>
      </c>
      <c r="S1334" t="str">
        <f t="shared" si="41"/>
        <v>One-Time</v>
      </c>
    </row>
    <row r="1335" spans="1:19" ht="15" customHeight="1" x14ac:dyDescent="0.3">
      <c r="A1335">
        <v>1334</v>
      </c>
      <c r="B1335" t="s">
        <v>1814</v>
      </c>
      <c r="C1335">
        <v>3739037</v>
      </c>
      <c r="D1335" t="s">
        <v>114</v>
      </c>
      <c r="E1335">
        <v>54</v>
      </c>
      <c r="F1335" t="s">
        <v>77</v>
      </c>
      <c r="G1335" s="10">
        <v>45418</v>
      </c>
      <c r="H1335" t="s">
        <v>41</v>
      </c>
      <c r="I1335" t="s">
        <v>82</v>
      </c>
      <c r="J1335" t="s">
        <v>51</v>
      </c>
      <c r="K1335" t="s">
        <v>121</v>
      </c>
      <c r="L1335" t="s">
        <v>60</v>
      </c>
      <c r="M1335" t="s">
        <v>122</v>
      </c>
      <c r="N1335">
        <v>48</v>
      </c>
      <c r="O1335" t="s">
        <v>117</v>
      </c>
      <c r="P1335" s="11">
        <v>5900</v>
      </c>
      <c r="Q1335" t="s">
        <v>69</v>
      </c>
      <c r="R1335" s="11">
        <f t="shared" si="40"/>
        <v>5900</v>
      </c>
      <c r="S1335" t="str">
        <f t="shared" si="41"/>
        <v>One-Time</v>
      </c>
    </row>
    <row r="1336" spans="1:19" ht="15" customHeight="1" x14ac:dyDescent="0.3">
      <c r="A1336">
        <v>1335</v>
      </c>
      <c r="B1336" t="s">
        <v>1815</v>
      </c>
      <c r="C1336">
        <v>3392351</v>
      </c>
      <c r="D1336" t="s">
        <v>114</v>
      </c>
      <c r="E1336">
        <v>32</v>
      </c>
      <c r="F1336" t="s">
        <v>76</v>
      </c>
      <c r="G1336" s="10">
        <v>45419</v>
      </c>
      <c r="H1336" t="s">
        <v>41</v>
      </c>
      <c r="I1336" t="s">
        <v>82</v>
      </c>
      <c r="J1336" t="s">
        <v>51</v>
      </c>
      <c r="K1336" t="s">
        <v>121</v>
      </c>
      <c r="L1336" t="s">
        <v>60</v>
      </c>
      <c r="M1336" t="s">
        <v>122</v>
      </c>
      <c r="N1336">
        <v>5</v>
      </c>
      <c r="O1336" t="s">
        <v>117</v>
      </c>
      <c r="P1336" s="11">
        <v>5900</v>
      </c>
      <c r="Q1336" t="s">
        <v>63</v>
      </c>
      <c r="R1336" s="11">
        <f t="shared" si="40"/>
        <v>5900</v>
      </c>
      <c r="S1336" t="str">
        <f t="shared" si="41"/>
        <v>One-Time</v>
      </c>
    </row>
    <row r="1337" spans="1:19" ht="15" customHeight="1" x14ac:dyDescent="0.3">
      <c r="A1337">
        <v>1336</v>
      </c>
      <c r="B1337" t="s">
        <v>1816</v>
      </c>
      <c r="C1337">
        <v>3583244</v>
      </c>
      <c r="D1337" t="s">
        <v>114</v>
      </c>
      <c r="E1337">
        <v>46</v>
      </c>
      <c r="F1337" t="s">
        <v>76</v>
      </c>
      <c r="G1337" s="10">
        <v>45420</v>
      </c>
      <c r="H1337" t="s">
        <v>41</v>
      </c>
      <c r="I1337" t="s">
        <v>82</v>
      </c>
      <c r="J1337" t="s">
        <v>51</v>
      </c>
      <c r="K1337" t="s">
        <v>121</v>
      </c>
      <c r="L1337" t="s">
        <v>60</v>
      </c>
      <c r="M1337" t="s">
        <v>122</v>
      </c>
      <c r="N1337">
        <v>2</v>
      </c>
      <c r="O1337" t="s">
        <v>117</v>
      </c>
      <c r="P1337" s="11">
        <v>5900</v>
      </c>
      <c r="Q1337" t="s">
        <v>62</v>
      </c>
      <c r="R1337" s="11">
        <f t="shared" si="40"/>
        <v>5900</v>
      </c>
      <c r="S1337" t="str">
        <f t="shared" si="41"/>
        <v>One-Time</v>
      </c>
    </row>
    <row r="1338" spans="1:19" ht="15" customHeight="1" x14ac:dyDescent="0.3">
      <c r="A1338">
        <v>1337</v>
      </c>
      <c r="B1338" t="s">
        <v>1817</v>
      </c>
      <c r="C1338">
        <v>1004509</v>
      </c>
      <c r="D1338" t="s">
        <v>114</v>
      </c>
      <c r="E1338">
        <v>18</v>
      </c>
      <c r="F1338" t="s">
        <v>75</v>
      </c>
      <c r="G1338" s="10">
        <v>45421</v>
      </c>
      <c r="H1338" t="s">
        <v>41</v>
      </c>
      <c r="I1338" t="s">
        <v>82</v>
      </c>
      <c r="J1338" t="s">
        <v>51</v>
      </c>
      <c r="K1338" t="s">
        <v>144</v>
      </c>
      <c r="L1338" t="s">
        <v>60</v>
      </c>
      <c r="M1338" t="s">
        <v>122</v>
      </c>
      <c r="N1338">
        <v>9</v>
      </c>
      <c r="O1338" t="s">
        <v>117</v>
      </c>
      <c r="P1338" s="11">
        <v>5900</v>
      </c>
      <c r="Q1338" t="s">
        <v>740</v>
      </c>
      <c r="R1338" s="11">
        <f t="shared" si="40"/>
        <v>5900</v>
      </c>
      <c r="S1338" t="str">
        <f t="shared" si="41"/>
        <v>One-Time</v>
      </c>
    </row>
    <row r="1339" spans="1:19" ht="15" customHeight="1" x14ac:dyDescent="0.3">
      <c r="A1339">
        <v>1338</v>
      </c>
      <c r="B1339" t="s">
        <v>1818</v>
      </c>
      <c r="C1339">
        <v>5149604</v>
      </c>
      <c r="D1339" t="s">
        <v>114</v>
      </c>
      <c r="E1339">
        <v>49</v>
      </c>
      <c r="F1339" t="s">
        <v>76</v>
      </c>
      <c r="G1339" s="10">
        <v>45422</v>
      </c>
      <c r="H1339" t="s">
        <v>41</v>
      </c>
      <c r="I1339" t="s">
        <v>82</v>
      </c>
      <c r="J1339" t="s">
        <v>51</v>
      </c>
      <c r="K1339" t="s">
        <v>144</v>
      </c>
      <c r="L1339" t="s">
        <v>60</v>
      </c>
      <c r="M1339" t="s">
        <v>122</v>
      </c>
      <c r="N1339">
        <v>7</v>
      </c>
      <c r="O1339" t="s">
        <v>117</v>
      </c>
      <c r="P1339" s="11">
        <v>5900</v>
      </c>
      <c r="Q1339" t="s">
        <v>63</v>
      </c>
      <c r="R1339" s="11">
        <f t="shared" si="40"/>
        <v>5900</v>
      </c>
      <c r="S1339" t="str">
        <f t="shared" si="41"/>
        <v>One-Time</v>
      </c>
    </row>
    <row r="1340" spans="1:19" ht="15" customHeight="1" x14ac:dyDescent="0.3">
      <c r="A1340">
        <v>1339</v>
      </c>
      <c r="B1340" t="s">
        <v>1819</v>
      </c>
      <c r="C1340">
        <v>4945874</v>
      </c>
      <c r="D1340" t="s">
        <v>114</v>
      </c>
      <c r="E1340">
        <v>35</v>
      </c>
      <c r="F1340" t="s">
        <v>76</v>
      </c>
      <c r="G1340" s="10">
        <v>45423</v>
      </c>
      <c r="H1340" t="s">
        <v>41</v>
      </c>
      <c r="I1340" t="s">
        <v>82</v>
      </c>
      <c r="J1340" t="s">
        <v>51</v>
      </c>
      <c r="K1340" t="s">
        <v>144</v>
      </c>
      <c r="L1340" t="s">
        <v>60</v>
      </c>
      <c r="M1340" t="s">
        <v>122</v>
      </c>
      <c r="N1340">
        <v>2</v>
      </c>
      <c r="O1340" t="s">
        <v>117</v>
      </c>
      <c r="P1340" s="11">
        <v>5900</v>
      </c>
      <c r="Q1340" t="s">
        <v>1820</v>
      </c>
      <c r="R1340" s="11">
        <f t="shared" si="40"/>
        <v>5900</v>
      </c>
      <c r="S1340" t="str">
        <f t="shared" si="41"/>
        <v>One-Time</v>
      </c>
    </row>
    <row r="1341" spans="1:19" ht="15" customHeight="1" x14ac:dyDescent="0.3">
      <c r="A1341">
        <v>1340</v>
      </c>
      <c r="B1341" t="s">
        <v>1821</v>
      </c>
      <c r="C1341">
        <v>8370679</v>
      </c>
      <c r="D1341" t="s">
        <v>114</v>
      </c>
      <c r="E1341">
        <v>45</v>
      </c>
      <c r="F1341" t="s">
        <v>76</v>
      </c>
      <c r="G1341" s="10">
        <v>45424</v>
      </c>
      <c r="H1341" t="s">
        <v>41</v>
      </c>
      <c r="I1341" t="s">
        <v>82</v>
      </c>
      <c r="J1341" t="s">
        <v>51</v>
      </c>
      <c r="K1341" t="s">
        <v>144</v>
      </c>
      <c r="L1341" t="s">
        <v>60</v>
      </c>
      <c r="M1341" t="s">
        <v>122</v>
      </c>
      <c r="N1341">
        <v>8</v>
      </c>
      <c r="O1341" t="s">
        <v>117</v>
      </c>
      <c r="P1341" s="11">
        <v>5900</v>
      </c>
      <c r="Q1341" t="s">
        <v>658</v>
      </c>
      <c r="R1341" s="11">
        <f t="shared" si="40"/>
        <v>5900</v>
      </c>
      <c r="S1341" t="str">
        <f t="shared" si="41"/>
        <v>One-Time</v>
      </c>
    </row>
    <row r="1342" spans="1:19" ht="15" customHeight="1" x14ac:dyDescent="0.3">
      <c r="A1342">
        <v>1341</v>
      </c>
      <c r="B1342" t="s">
        <v>1822</v>
      </c>
      <c r="C1342">
        <v>9757288</v>
      </c>
      <c r="D1342" t="s">
        <v>114</v>
      </c>
      <c r="E1342">
        <v>26</v>
      </c>
      <c r="F1342" t="s">
        <v>75</v>
      </c>
      <c r="G1342" s="10">
        <v>45425</v>
      </c>
      <c r="H1342" t="s">
        <v>41</v>
      </c>
      <c r="I1342" t="s">
        <v>82</v>
      </c>
      <c r="J1342" t="s">
        <v>51</v>
      </c>
      <c r="K1342" t="s">
        <v>144</v>
      </c>
      <c r="L1342" t="s">
        <v>60</v>
      </c>
      <c r="M1342" t="s">
        <v>122</v>
      </c>
      <c r="N1342">
        <v>4</v>
      </c>
      <c r="O1342" t="s">
        <v>117</v>
      </c>
      <c r="P1342" s="11">
        <v>6600</v>
      </c>
      <c r="Q1342" t="s">
        <v>325</v>
      </c>
      <c r="R1342" s="11">
        <f t="shared" si="40"/>
        <v>6600</v>
      </c>
      <c r="S1342" t="str">
        <f t="shared" si="41"/>
        <v>One-Time</v>
      </c>
    </row>
    <row r="1343" spans="1:19" ht="15" customHeight="1" x14ac:dyDescent="0.3">
      <c r="A1343">
        <v>1342</v>
      </c>
      <c r="B1343" t="s">
        <v>1823</v>
      </c>
      <c r="C1343">
        <v>3422175</v>
      </c>
      <c r="D1343" t="s">
        <v>114</v>
      </c>
      <c r="E1343">
        <v>27</v>
      </c>
      <c r="F1343" t="s">
        <v>75</v>
      </c>
      <c r="G1343" s="10">
        <v>45426</v>
      </c>
      <c r="H1343" t="s">
        <v>41</v>
      </c>
      <c r="I1343" t="s">
        <v>82</v>
      </c>
      <c r="J1343" t="s">
        <v>51</v>
      </c>
      <c r="K1343" t="s">
        <v>144</v>
      </c>
      <c r="L1343" t="s">
        <v>60</v>
      </c>
      <c r="M1343" t="s">
        <v>122</v>
      </c>
      <c r="N1343">
        <v>5</v>
      </c>
      <c r="O1343" t="s">
        <v>117</v>
      </c>
      <c r="P1343" s="11">
        <v>6600</v>
      </c>
      <c r="Q1343" t="s">
        <v>1555</v>
      </c>
      <c r="R1343" s="11">
        <f t="shared" si="40"/>
        <v>6600</v>
      </c>
      <c r="S1343" t="str">
        <f t="shared" si="41"/>
        <v>One-Time</v>
      </c>
    </row>
    <row r="1344" spans="1:19" ht="15" customHeight="1" x14ac:dyDescent="0.3">
      <c r="A1344">
        <v>1343</v>
      </c>
      <c r="B1344" t="s">
        <v>1824</v>
      </c>
      <c r="C1344">
        <v>975836</v>
      </c>
      <c r="D1344" t="s">
        <v>114</v>
      </c>
      <c r="E1344">
        <v>22</v>
      </c>
      <c r="F1344" t="s">
        <v>75</v>
      </c>
      <c r="G1344" s="10">
        <v>45427</v>
      </c>
      <c r="H1344" t="s">
        <v>41</v>
      </c>
      <c r="I1344" t="s">
        <v>82</v>
      </c>
      <c r="J1344" t="s">
        <v>51</v>
      </c>
      <c r="K1344" t="s">
        <v>144</v>
      </c>
      <c r="L1344" t="s">
        <v>60</v>
      </c>
      <c r="M1344" t="s">
        <v>116</v>
      </c>
      <c r="N1344">
        <v>6</v>
      </c>
      <c r="O1344" t="s">
        <v>117</v>
      </c>
      <c r="P1344" s="11">
        <v>6600</v>
      </c>
      <c r="Q1344" t="s">
        <v>1825</v>
      </c>
      <c r="R1344" s="11">
        <f t="shared" si="40"/>
        <v>6600</v>
      </c>
      <c r="S1344" t="str">
        <f t="shared" si="41"/>
        <v>One-Time</v>
      </c>
    </row>
    <row r="1345" spans="1:19" ht="15" customHeight="1" x14ac:dyDescent="0.3">
      <c r="A1345">
        <v>1344</v>
      </c>
      <c r="B1345" t="s">
        <v>1826</v>
      </c>
      <c r="C1345">
        <v>5339654</v>
      </c>
      <c r="D1345" t="s">
        <v>114</v>
      </c>
      <c r="E1345">
        <v>45</v>
      </c>
      <c r="F1345" t="s">
        <v>76</v>
      </c>
      <c r="G1345" s="10">
        <v>45428</v>
      </c>
      <c r="H1345" t="s">
        <v>41</v>
      </c>
      <c r="I1345" t="s">
        <v>82</v>
      </c>
      <c r="J1345" t="s">
        <v>51</v>
      </c>
      <c r="K1345" t="s">
        <v>198</v>
      </c>
      <c r="L1345" t="s">
        <v>60</v>
      </c>
      <c r="M1345" t="s">
        <v>116</v>
      </c>
      <c r="N1345">
        <v>31</v>
      </c>
      <c r="O1345" t="s">
        <v>117</v>
      </c>
      <c r="P1345" s="11">
        <v>6600</v>
      </c>
      <c r="Q1345" t="s">
        <v>414</v>
      </c>
      <c r="R1345" s="11">
        <f t="shared" si="40"/>
        <v>6600</v>
      </c>
      <c r="S1345" t="str">
        <f t="shared" si="41"/>
        <v>One-Time</v>
      </c>
    </row>
    <row r="1346" spans="1:19" ht="15" customHeight="1" x14ac:dyDescent="0.3">
      <c r="A1346">
        <v>1345</v>
      </c>
      <c r="B1346" t="s">
        <v>1827</v>
      </c>
      <c r="C1346">
        <v>8807415</v>
      </c>
      <c r="D1346" t="s">
        <v>114</v>
      </c>
      <c r="E1346">
        <v>46</v>
      </c>
      <c r="F1346" t="s">
        <v>76</v>
      </c>
      <c r="G1346" s="10">
        <v>45429</v>
      </c>
      <c r="H1346" t="s">
        <v>41</v>
      </c>
      <c r="I1346" t="s">
        <v>82</v>
      </c>
      <c r="J1346" t="s">
        <v>51</v>
      </c>
      <c r="K1346" t="s">
        <v>198</v>
      </c>
      <c r="L1346" t="s">
        <v>60</v>
      </c>
      <c r="M1346" t="s">
        <v>116</v>
      </c>
      <c r="N1346">
        <v>2</v>
      </c>
      <c r="O1346" t="s">
        <v>117</v>
      </c>
      <c r="P1346" s="11">
        <v>6600</v>
      </c>
      <c r="Q1346" t="s">
        <v>1828</v>
      </c>
      <c r="R1346" s="11">
        <f t="shared" ref="R1346:R1409" si="42">IF(I1346="Delivered",P1346,0)</f>
        <v>6600</v>
      </c>
      <c r="S1346" t="str">
        <f t="shared" ref="S1346:S1409" si="43">IF(COUNTIF($C$2:$C$1501,C1346)&gt;1,"Repeat","One-Time")</f>
        <v>One-Time</v>
      </c>
    </row>
    <row r="1347" spans="1:19" ht="15" customHeight="1" x14ac:dyDescent="0.3">
      <c r="A1347">
        <v>1346</v>
      </c>
      <c r="B1347" t="s">
        <v>1829</v>
      </c>
      <c r="C1347">
        <v>2584311</v>
      </c>
      <c r="D1347" t="s">
        <v>114</v>
      </c>
      <c r="E1347">
        <v>40</v>
      </c>
      <c r="F1347" t="s">
        <v>76</v>
      </c>
      <c r="G1347" s="10">
        <v>45430</v>
      </c>
      <c r="H1347" t="s">
        <v>41</v>
      </c>
      <c r="I1347" t="s">
        <v>82</v>
      </c>
      <c r="J1347" t="s">
        <v>51</v>
      </c>
      <c r="K1347" t="s">
        <v>198</v>
      </c>
      <c r="L1347" t="s">
        <v>60</v>
      </c>
      <c r="M1347" t="s">
        <v>116</v>
      </c>
      <c r="N1347">
        <v>5</v>
      </c>
      <c r="O1347" t="s">
        <v>117</v>
      </c>
      <c r="P1347" s="11">
        <v>6600</v>
      </c>
      <c r="Q1347" t="s">
        <v>174</v>
      </c>
      <c r="R1347" s="11">
        <f t="shared" si="42"/>
        <v>6600</v>
      </c>
      <c r="S1347" t="str">
        <f t="shared" si="43"/>
        <v>One-Time</v>
      </c>
    </row>
    <row r="1348" spans="1:19" ht="15" customHeight="1" x14ac:dyDescent="0.3">
      <c r="A1348">
        <v>1347</v>
      </c>
      <c r="B1348" t="s">
        <v>1830</v>
      </c>
      <c r="C1348">
        <v>6248918</v>
      </c>
      <c r="D1348" t="s">
        <v>114</v>
      </c>
      <c r="E1348">
        <v>43</v>
      </c>
      <c r="F1348" t="s">
        <v>76</v>
      </c>
      <c r="G1348" s="10">
        <v>45431</v>
      </c>
      <c r="H1348" t="s">
        <v>41</v>
      </c>
      <c r="I1348" t="s">
        <v>82</v>
      </c>
      <c r="J1348" t="s">
        <v>51</v>
      </c>
      <c r="K1348" t="s">
        <v>198</v>
      </c>
      <c r="L1348" t="s">
        <v>60</v>
      </c>
      <c r="M1348" t="s">
        <v>116</v>
      </c>
      <c r="N1348">
        <v>5</v>
      </c>
      <c r="O1348" t="s">
        <v>117</v>
      </c>
      <c r="P1348" s="11">
        <v>6600</v>
      </c>
      <c r="Q1348" t="s">
        <v>1831</v>
      </c>
      <c r="R1348" s="11">
        <f t="shared" si="42"/>
        <v>6600</v>
      </c>
      <c r="S1348" t="str">
        <f t="shared" si="43"/>
        <v>One-Time</v>
      </c>
    </row>
    <row r="1349" spans="1:19" ht="15" customHeight="1" x14ac:dyDescent="0.3">
      <c r="A1349">
        <v>1348</v>
      </c>
      <c r="B1349" t="s">
        <v>1832</v>
      </c>
      <c r="C1349">
        <v>8830580</v>
      </c>
      <c r="D1349" t="s">
        <v>114</v>
      </c>
      <c r="E1349">
        <v>50</v>
      </c>
      <c r="F1349" t="s">
        <v>77</v>
      </c>
      <c r="G1349" s="10">
        <v>45432</v>
      </c>
      <c r="H1349" t="s">
        <v>41</v>
      </c>
      <c r="I1349" t="s">
        <v>85</v>
      </c>
      <c r="J1349" t="s">
        <v>51</v>
      </c>
      <c r="K1349" t="s">
        <v>198</v>
      </c>
      <c r="L1349" t="s">
        <v>60</v>
      </c>
      <c r="M1349" t="s">
        <v>116</v>
      </c>
      <c r="N1349">
        <v>8</v>
      </c>
      <c r="O1349" t="s">
        <v>117</v>
      </c>
      <c r="P1349" s="11">
        <v>6600</v>
      </c>
      <c r="Q1349" t="s">
        <v>62</v>
      </c>
      <c r="R1349" s="11">
        <f t="shared" si="42"/>
        <v>0</v>
      </c>
      <c r="S1349" t="str">
        <f t="shared" si="43"/>
        <v>One-Time</v>
      </c>
    </row>
    <row r="1350" spans="1:19" ht="15" customHeight="1" x14ac:dyDescent="0.3">
      <c r="A1350">
        <v>1349</v>
      </c>
      <c r="B1350" t="s">
        <v>1833</v>
      </c>
      <c r="C1350">
        <v>7466394</v>
      </c>
      <c r="D1350" t="s">
        <v>114</v>
      </c>
      <c r="E1350">
        <v>47</v>
      </c>
      <c r="F1350" t="s">
        <v>76</v>
      </c>
      <c r="G1350" s="10">
        <v>45433</v>
      </c>
      <c r="H1350" t="s">
        <v>41</v>
      </c>
      <c r="I1350" t="s">
        <v>82</v>
      </c>
      <c r="J1350" t="s">
        <v>51</v>
      </c>
      <c r="K1350" t="s">
        <v>198</v>
      </c>
      <c r="L1350" t="s">
        <v>60</v>
      </c>
      <c r="M1350" t="s">
        <v>116</v>
      </c>
      <c r="N1350">
        <v>9</v>
      </c>
      <c r="O1350" t="s">
        <v>117</v>
      </c>
      <c r="P1350" s="11">
        <v>6600</v>
      </c>
      <c r="Q1350" t="s">
        <v>483</v>
      </c>
      <c r="R1350" s="11">
        <f t="shared" si="42"/>
        <v>6600</v>
      </c>
      <c r="S1350" t="str">
        <f t="shared" si="43"/>
        <v>One-Time</v>
      </c>
    </row>
    <row r="1351" spans="1:19" ht="15" customHeight="1" x14ac:dyDescent="0.3">
      <c r="A1351">
        <v>1350</v>
      </c>
      <c r="B1351" t="s">
        <v>1834</v>
      </c>
      <c r="C1351">
        <v>8156341</v>
      </c>
      <c r="D1351" t="s">
        <v>114</v>
      </c>
      <c r="E1351">
        <v>46</v>
      </c>
      <c r="F1351" t="s">
        <v>76</v>
      </c>
      <c r="G1351" s="10">
        <v>45434</v>
      </c>
      <c r="H1351" t="s">
        <v>41</v>
      </c>
      <c r="I1351" t="s">
        <v>82</v>
      </c>
      <c r="J1351" t="s">
        <v>51</v>
      </c>
      <c r="K1351" t="s">
        <v>198</v>
      </c>
      <c r="L1351" t="s">
        <v>60</v>
      </c>
      <c r="M1351" t="s">
        <v>116</v>
      </c>
      <c r="N1351">
        <v>8</v>
      </c>
      <c r="O1351" t="s">
        <v>117</v>
      </c>
      <c r="P1351" s="11">
        <v>6600</v>
      </c>
      <c r="Q1351" t="s">
        <v>220</v>
      </c>
      <c r="R1351" s="11">
        <f t="shared" si="42"/>
        <v>6600</v>
      </c>
      <c r="S1351" t="str">
        <f t="shared" si="43"/>
        <v>One-Time</v>
      </c>
    </row>
    <row r="1352" spans="1:19" ht="15" customHeight="1" x14ac:dyDescent="0.3">
      <c r="A1352">
        <v>1351</v>
      </c>
      <c r="B1352" t="s">
        <v>1835</v>
      </c>
      <c r="C1352">
        <v>5346372</v>
      </c>
      <c r="D1352" t="s">
        <v>114</v>
      </c>
      <c r="E1352">
        <v>72</v>
      </c>
      <c r="F1352" t="s">
        <v>77</v>
      </c>
      <c r="G1352" s="10">
        <v>45435</v>
      </c>
      <c r="H1352" t="s">
        <v>41</v>
      </c>
      <c r="I1352" t="s">
        <v>83</v>
      </c>
      <c r="J1352" t="s">
        <v>51</v>
      </c>
      <c r="K1352" t="s">
        <v>198</v>
      </c>
      <c r="L1352" t="s">
        <v>60</v>
      </c>
      <c r="M1352" t="s">
        <v>116</v>
      </c>
      <c r="N1352">
        <v>3</v>
      </c>
      <c r="O1352" t="s">
        <v>117</v>
      </c>
      <c r="P1352" s="11">
        <v>6600</v>
      </c>
      <c r="Q1352" t="s">
        <v>1759</v>
      </c>
      <c r="R1352" s="11">
        <f t="shared" si="42"/>
        <v>0</v>
      </c>
      <c r="S1352" t="str">
        <f t="shared" si="43"/>
        <v>Repeat</v>
      </c>
    </row>
    <row r="1353" spans="1:19" ht="15" customHeight="1" x14ac:dyDescent="0.3">
      <c r="A1353">
        <v>1352</v>
      </c>
      <c r="B1353" t="s">
        <v>1835</v>
      </c>
      <c r="C1353">
        <v>5346372</v>
      </c>
      <c r="D1353" t="s">
        <v>114</v>
      </c>
      <c r="E1353">
        <v>35</v>
      </c>
      <c r="F1353" t="s">
        <v>76</v>
      </c>
      <c r="G1353" s="10">
        <v>45436</v>
      </c>
      <c r="H1353" t="s">
        <v>41</v>
      </c>
      <c r="I1353" t="s">
        <v>82</v>
      </c>
      <c r="J1353" t="s">
        <v>51</v>
      </c>
      <c r="K1353" t="s">
        <v>198</v>
      </c>
      <c r="L1353" t="s">
        <v>60</v>
      </c>
      <c r="M1353" t="s">
        <v>116</v>
      </c>
      <c r="N1353">
        <v>4</v>
      </c>
      <c r="O1353" t="s">
        <v>117</v>
      </c>
      <c r="P1353" s="11">
        <v>6600</v>
      </c>
      <c r="Q1353" t="s">
        <v>1836</v>
      </c>
      <c r="R1353" s="11">
        <f t="shared" si="42"/>
        <v>6600</v>
      </c>
      <c r="S1353" t="str">
        <f t="shared" si="43"/>
        <v>Repeat</v>
      </c>
    </row>
    <row r="1354" spans="1:19" ht="15" customHeight="1" x14ac:dyDescent="0.3">
      <c r="A1354">
        <v>1353</v>
      </c>
      <c r="B1354" t="s">
        <v>1837</v>
      </c>
      <c r="C1354">
        <v>2452708</v>
      </c>
      <c r="D1354" t="s">
        <v>114</v>
      </c>
      <c r="E1354">
        <v>31</v>
      </c>
      <c r="F1354" t="s">
        <v>76</v>
      </c>
      <c r="G1354" s="10">
        <v>45437</v>
      </c>
      <c r="H1354" t="s">
        <v>41</v>
      </c>
      <c r="I1354" t="s">
        <v>82</v>
      </c>
      <c r="J1354" t="s">
        <v>51</v>
      </c>
      <c r="K1354" t="s">
        <v>198</v>
      </c>
      <c r="L1354" t="s">
        <v>60</v>
      </c>
      <c r="M1354" t="s">
        <v>116</v>
      </c>
      <c r="N1354">
        <v>4</v>
      </c>
      <c r="O1354" t="s">
        <v>117</v>
      </c>
      <c r="P1354" s="11">
        <v>6600</v>
      </c>
      <c r="Q1354" t="s">
        <v>66</v>
      </c>
      <c r="R1354" s="11">
        <f t="shared" si="42"/>
        <v>6600</v>
      </c>
      <c r="S1354" t="str">
        <f t="shared" si="43"/>
        <v>One-Time</v>
      </c>
    </row>
    <row r="1355" spans="1:19" ht="15" customHeight="1" x14ac:dyDescent="0.3">
      <c r="A1355">
        <v>1354</v>
      </c>
      <c r="B1355" t="s">
        <v>1838</v>
      </c>
      <c r="C1355">
        <v>7338347</v>
      </c>
      <c r="D1355" t="s">
        <v>114</v>
      </c>
      <c r="E1355">
        <v>18</v>
      </c>
      <c r="F1355" t="s">
        <v>75</v>
      </c>
      <c r="G1355" s="10">
        <v>45438</v>
      </c>
      <c r="H1355" t="s">
        <v>41</v>
      </c>
      <c r="I1355" t="s">
        <v>82</v>
      </c>
      <c r="J1355" t="s">
        <v>51</v>
      </c>
      <c r="K1355" t="s">
        <v>198</v>
      </c>
      <c r="L1355" t="s">
        <v>60</v>
      </c>
      <c r="M1355" t="s">
        <v>116</v>
      </c>
      <c r="N1355">
        <v>9</v>
      </c>
      <c r="O1355" t="s">
        <v>117</v>
      </c>
      <c r="P1355" s="11">
        <v>6600</v>
      </c>
      <c r="Q1355" t="s">
        <v>1839</v>
      </c>
      <c r="R1355" s="11">
        <f t="shared" si="42"/>
        <v>6600</v>
      </c>
      <c r="S1355" t="str">
        <f t="shared" si="43"/>
        <v>One-Time</v>
      </c>
    </row>
    <row r="1356" spans="1:19" ht="15" customHeight="1" x14ac:dyDescent="0.3">
      <c r="A1356">
        <v>1355</v>
      </c>
      <c r="B1356" t="s">
        <v>1840</v>
      </c>
      <c r="C1356">
        <v>211892</v>
      </c>
      <c r="D1356" t="s">
        <v>114</v>
      </c>
      <c r="E1356">
        <v>22</v>
      </c>
      <c r="F1356" t="s">
        <v>75</v>
      </c>
      <c r="G1356" s="10">
        <v>45439</v>
      </c>
      <c r="H1356" t="s">
        <v>41</v>
      </c>
      <c r="I1356" t="s">
        <v>82</v>
      </c>
      <c r="J1356" t="s">
        <v>51</v>
      </c>
      <c r="K1356" t="s">
        <v>198</v>
      </c>
      <c r="L1356" t="s">
        <v>60</v>
      </c>
      <c r="M1356" t="s">
        <v>116</v>
      </c>
      <c r="N1356">
        <v>8</v>
      </c>
      <c r="O1356" t="s">
        <v>117</v>
      </c>
      <c r="P1356" s="11">
        <v>6600</v>
      </c>
      <c r="Q1356" t="s">
        <v>1841</v>
      </c>
      <c r="R1356" s="11">
        <f t="shared" si="42"/>
        <v>6600</v>
      </c>
      <c r="S1356" t="str">
        <f t="shared" si="43"/>
        <v>One-Time</v>
      </c>
    </row>
    <row r="1357" spans="1:19" ht="15" customHeight="1" x14ac:dyDescent="0.3">
      <c r="A1357">
        <v>1356</v>
      </c>
      <c r="B1357" t="s">
        <v>1842</v>
      </c>
      <c r="C1357">
        <v>7532609</v>
      </c>
      <c r="D1357" t="s">
        <v>114</v>
      </c>
      <c r="E1357">
        <v>63</v>
      </c>
      <c r="F1357" t="s">
        <v>77</v>
      </c>
      <c r="G1357" s="10">
        <v>45440</v>
      </c>
      <c r="H1357" t="s">
        <v>41</v>
      </c>
      <c r="I1357" t="s">
        <v>82</v>
      </c>
      <c r="J1357" t="s">
        <v>51</v>
      </c>
      <c r="K1357" t="s">
        <v>198</v>
      </c>
      <c r="L1357" t="s">
        <v>60</v>
      </c>
      <c r="M1357" t="s">
        <v>116</v>
      </c>
      <c r="N1357">
        <v>3</v>
      </c>
      <c r="O1357" t="s">
        <v>117</v>
      </c>
      <c r="P1357" s="11">
        <v>6600</v>
      </c>
      <c r="Q1357" t="s">
        <v>67</v>
      </c>
      <c r="R1357" s="11">
        <f t="shared" si="42"/>
        <v>6600</v>
      </c>
      <c r="S1357" t="str">
        <f t="shared" si="43"/>
        <v>One-Time</v>
      </c>
    </row>
    <row r="1358" spans="1:19" ht="15" customHeight="1" x14ac:dyDescent="0.3">
      <c r="A1358">
        <v>1357</v>
      </c>
      <c r="B1358" t="s">
        <v>1843</v>
      </c>
      <c r="C1358">
        <v>6043726</v>
      </c>
      <c r="D1358" t="s">
        <v>114</v>
      </c>
      <c r="E1358">
        <v>47</v>
      </c>
      <c r="F1358" t="s">
        <v>76</v>
      </c>
      <c r="G1358" s="10">
        <v>45441</v>
      </c>
      <c r="H1358" t="s">
        <v>41</v>
      </c>
      <c r="I1358" t="s">
        <v>83</v>
      </c>
      <c r="J1358" t="s">
        <v>51</v>
      </c>
      <c r="K1358" t="s">
        <v>198</v>
      </c>
      <c r="L1358" t="s">
        <v>60</v>
      </c>
      <c r="M1358" t="s">
        <v>116</v>
      </c>
      <c r="N1358">
        <v>6</v>
      </c>
      <c r="O1358" t="s">
        <v>117</v>
      </c>
      <c r="P1358" s="11">
        <v>6600</v>
      </c>
      <c r="Q1358" t="s">
        <v>313</v>
      </c>
      <c r="R1358" s="11">
        <f t="shared" si="42"/>
        <v>0</v>
      </c>
      <c r="S1358" t="str">
        <f t="shared" si="43"/>
        <v>One-Time</v>
      </c>
    </row>
    <row r="1359" spans="1:19" ht="15" customHeight="1" x14ac:dyDescent="0.3">
      <c r="A1359">
        <v>1358</v>
      </c>
      <c r="B1359" t="s">
        <v>1844</v>
      </c>
      <c r="C1359">
        <v>1712596</v>
      </c>
      <c r="D1359" t="s">
        <v>114</v>
      </c>
      <c r="E1359">
        <v>35</v>
      </c>
      <c r="F1359" t="s">
        <v>76</v>
      </c>
      <c r="G1359" s="10">
        <v>45442</v>
      </c>
      <c r="H1359" t="s">
        <v>41</v>
      </c>
      <c r="I1359" t="s">
        <v>83</v>
      </c>
      <c r="J1359" t="s">
        <v>51</v>
      </c>
      <c r="K1359" t="s">
        <v>171</v>
      </c>
      <c r="L1359" t="s">
        <v>60</v>
      </c>
      <c r="M1359" t="s">
        <v>116</v>
      </c>
      <c r="N1359">
        <v>9</v>
      </c>
      <c r="O1359" t="s">
        <v>117</v>
      </c>
      <c r="P1359" s="11">
        <v>6600</v>
      </c>
      <c r="Q1359" t="s">
        <v>63</v>
      </c>
      <c r="R1359" s="11">
        <f t="shared" si="42"/>
        <v>0</v>
      </c>
      <c r="S1359" t="str">
        <f t="shared" si="43"/>
        <v>One-Time</v>
      </c>
    </row>
    <row r="1360" spans="1:19" ht="15" customHeight="1" x14ac:dyDescent="0.3">
      <c r="A1360">
        <v>1359</v>
      </c>
      <c r="B1360" t="s">
        <v>1845</v>
      </c>
      <c r="C1360">
        <v>8411773</v>
      </c>
      <c r="D1360" t="s">
        <v>114</v>
      </c>
      <c r="E1360">
        <v>41</v>
      </c>
      <c r="F1360" t="s">
        <v>76</v>
      </c>
      <c r="G1360" s="10">
        <v>45443</v>
      </c>
      <c r="H1360" t="s">
        <v>41</v>
      </c>
      <c r="I1360" t="s">
        <v>82</v>
      </c>
      <c r="J1360" t="s">
        <v>51</v>
      </c>
      <c r="K1360" t="s">
        <v>171</v>
      </c>
      <c r="L1360" t="s">
        <v>60</v>
      </c>
      <c r="M1360" t="s">
        <v>116</v>
      </c>
      <c r="N1360">
        <v>2</v>
      </c>
      <c r="O1360" t="s">
        <v>117</v>
      </c>
      <c r="P1360" s="11">
        <v>6600</v>
      </c>
      <c r="Q1360" t="s">
        <v>71</v>
      </c>
      <c r="R1360" s="11">
        <f t="shared" si="42"/>
        <v>6600</v>
      </c>
      <c r="S1360" t="str">
        <f t="shared" si="43"/>
        <v>One-Time</v>
      </c>
    </row>
    <row r="1361" spans="1:19" ht="15" customHeight="1" x14ac:dyDescent="0.3">
      <c r="A1361">
        <v>1360</v>
      </c>
      <c r="B1361" t="s">
        <v>1846</v>
      </c>
      <c r="C1361">
        <v>7844529</v>
      </c>
      <c r="D1361" t="s">
        <v>114</v>
      </c>
      <c r="E1361">
        <v>46</v>
      </c>
      <c r="F1361" t="s">
        <v>76</v>
      </c>
      <c r="G1361" s="10">
        <v>45444</v>
      </c>
      <c r="H1361" t="s">
        <v>42</v>
      </c>
      <c r="I1361" t="s">
        <v>82</v>
      </c>
      <c r="J1361" t="s">
        <v>51</v>
      </c>
      <c r="K1361" t="s">
        <v>171</v>
      </c>
      <c r="L1361" t="s">
        <v>60</v>
      </c>
      <c r="M1361" t="s">
        <v>116</v>
      </c>
      <c r="N1361">
        <v>5</v>
      </c>
      <c r="O1361" t="s">
        <v>117</v>
      </c>
      <c r="P1361" s="11">
        <v>6600</v>
      </c>
      <c r="Q1361" t="s">
        <v>69</v>
      </c>
      <c r="R1361" s="11">
        <f t="shared" si="42"/>
        <v>6600</v>
      </c>
      <c r="S1361" t="str">
        <f t="shared" si="43"/>
        <v>One-Time</v>
      </c>
    </row>
    <row r="1362" spans="1:19" ht="15" customHeight="1" x14ac:dyDescent="0.3">
      <c r="A1362">
        <v>1361</v>
      </c>
      <c r="B1362" t="s">
        <v>1847</v>
      </c>
      <c r="C1362">
        <v>3775810</v>
      </c>
      <c r="D1362" t="s">
        <v>114</v>
      </c>
      <c r="E1362">
        <v>44</v>
      </c>
      <c r="F1362" t="s">
        <v>76</v>
      </c>
      <c r="G1362" s="10">
        <v>45445</v>
      </c>
      <c r="H1362" t="s">
        <v>42</v>
      </c>
      <c r="I1362" t="s">
        <v>85</v>
      </c>
      <c r="J1362" t="s">
        <v>51</v>
      </c>
      <c r="K1362" t="s">
        <v>171</v>
      </c>
      <c r="L1362" t="s">
        <v>60</v>
      </c>
      <c r="M1362" t="s">
        <v>116</v>
      </c>
      <c r="N1362">
        <v>6</v>
      </c>
      <c r="O1362" t="s">
        <v>117</v>
      </c>
      <c r="P1362" s="11">
        <v>6600</v>
      </c>
      <c r="Q1362" t="s">
        <v>341</v>
      </c>
      <c r="R1362" s="11">
        <f t="shared" si="42"/>
        <v>0</v>
      </c>
      <c r="S1362" t="str">
        <f t="shared" si="43"/>
        <v>One-Time</v>
      </c>
    </row>
    <row r="1363" spans="1:19" ht="15" customHeight="1" x14ac:dyDescent="0.3">
      <c r="A1363">
        <v>1362</v>
      </c>
      <c r="B1363" t="s">
        <v>1848</v>
      </c>
      <c r="C1363">
        <v>9012771</v>
      </c>
      <c r="D1363" t="s">
        <v>114</v>
      </c>
      <c r="E1363">
        <v>19</v>
      </c>
      <c r="F1363" t="s">
        <v>75</v>
      </c>
      <c r="G1363" s="10">
        <v>45446</v>
      </c>
      <c r="H1363" t="s">
        <v>42</v>
      </c>
      <c r="I1363" t="s">
        <v>82</v>
      </c>
      <c r="J1363" t="s">
        <v>51</v>
      </c>
      <c r="K1363" t="s">
        <v>171</v>
      </c>
      <c r="L1363" t="s">
        <v>60</v>
      </c>
      <c r="M1363" t="s">
        <v>116</v>
      </c>
      <c r="N1363">
        <v>9</v>
      </c>
      <c r="O1363" t="s">
        <v>117</v>
      </c>
      <c r="P1363" s="11">
        <v>6600</v>
      </c>
      <c r="Q1363" t="s">
        <v>63</v>
      </c>
      <c r="R1363" s="11">
        <f t="shared" si="42"/>
        <v>6600</v>
      </c>
      <c r="S1363" t="str">
        <f t="shared" si="43"/>
        <v>One-Time</v>
      </c>
    </row>
    <row r="1364" spans="1:19" ht="15" customHeight="1" x14ac:dyDescent="0.3">
      <c r="A1364">
        <v>1363</v>
      </c>
      <c r="B1364" t="s">
        <v>1849</v>
      </c>
      <c r="C1364">
        <v>9136525</v>
      </c>
      <c r="D1364" t="s">
        <v>114</v>
      </c>
      <c r="E1364">
        <v>29</v>
      </c>
      <c r="F1364" t="s">
        <v>75</v>
      </c>
      <c r="G1364" s="10">
        <v>45447</v>
      </c>
      <c r="H1364" t="s">
        <v>42</v>
      </c>
      <c r="I1364" t="s">
        <v>82</v>
      </c>
      <c r="J1364" t="s">
        <v>51</v>
      </c>
      <c r="K1364" t="s">
        <v>171</v>
      </c>
      <c r="L1364" t="s">
        <v>60</v>
      </c>
      <c r="M1364" t="s">
        <v>116</v>
      </c>
      <c r="N1364">
        <v>7</v>
      </c>
      <c r="O1364" t="s">
        <v>117</v>
      </c>
      <c r="P1364" s="11">
        <v>6900</v>
      </c>
      <c r="Q1364" t="s">
        <v>1198</v>
      </c>
      <c r="R1364" s="11">
        <f t="shared" si="42"/>
        <v>6900</v>
      </c>
      <c r="S1364" t="str">
        <f t="shared" si="43"/>
        <v>Repeat</v>
      </c>
    </row>
    <row r="1365" spans="1:19" ht="15" customHeight="1" x14ac:dyDescent="0.3">
      <c r="A1365">
        <v>1364</v>
      </c>
      <c r="B1365" t="s">
        <v>1849</v>
      </c>
      <c r="C1365">
        <v>9136525</v>
      </c>
      <c r="D1365" t="s">
        <v>114</v>
      </c>
      <c r="E1365">
        <v>34</v>
      </c>
      <c r="F1365" t="s">
        <v>76</v>
      </c>
      <c r="G1365" s="10">
        <v>45448</v>
      </c>
      <c r="H1365" t="s">
        <v>42</v>
      </c>
      <c r="I1365" t="s">
        <v>82</v>
      </c>
      <c r="J1365" t="s">
        <v>51</v>
      </c>
      <c r="K1365" t="s">
        <v>171</v>
      </c>
      <c r="L1365" t="s">
        <v>60</v>
      </c>
      <c r="M1365" t="s">
        <v>116</v>
      </c>
      <c r="N1365">
        <v>81</v>
      </c>
      <c r="O1365" t="s">
        <v>117</v>
      </c>
      <c r="P1365" s="11">
        <v>6900</v>
      </c>
      <c r="Q1365" t="s">
        <v>62</v>
      </c>
      <c r="R1365" s="11">
        <f t="shared" si="42"/>
        <v>6900</v>
      </c>
      <c r="S1365" t="str">
        <f t="shared" si="43"/>
        <v>Repeat</v>
      </c>
    </row>
    <row r="1366" spans="1:19" ht="15" customHeight="1" x14ac:dyDescent="0.3">
      <c r="A1366">
        <v>1365</v>
      </c>
      <c r="B1366" t="s">
        <v>1850</v>
      </c>
      <c r="C1366">
        <v>6279695</v>
      </c>
      <c r="D1366" t="s">
        <v>114</v>
      </c>
      <c r="E1366">
        <v>60</v>
      </c>
      <c r="F1366" t="s">
        <v>77</v>
      </c>
      <c r="G1366" s="10">
        <v>45449</v>
      </c>
      <c r="H1366" t="s">
        <v>42</v>
      </c>
      <c r="I1366" t="s">
        <v>85</v>
      </c>
      <c r="J1366" t="s">
        <v>51</v>
      </c>
      <c r="K1366" t="s">
        <v>171</v>
      </c>
      <c r="L1366" t="s">
        <v>60</v>
      </c>
      <c r="M1366" t="s">
        <v>116</v>
      </c>
      <c r="N1366">
        <v>24</v>
      </c>
      <c r="O1366" t="s">
        <v>117</v>
      </c>
      <c r="P1366" s="11">
        <v>6900</v>
      </c>
      <c r="Q1366" t="s">
        <v>542</v>
      </c>
      <c r="R1366" s="11">
        <f t="shared" si="42"/>
        <v>0</v>
      </c>
      <c r="S1366" t="str">
        <f t="shared" si="43"/>
        <v>One-Time</v>
      </c>
    </row>
    <row r="1367" spans="1:19" ht="15" customHeight="1" x14ac:dyDescent="0.3">
      <c r="A1367">
        <v>1366</v>
      </c>
      <c r="B1367" t="s">
        <v>1851</v>
      </c>
      <c r="C1367">
        <v>6817306</v>
      </c>
      <c r="D1367" t="s">
        <v>114</v>
      </c>
      <c r="E1367">
        <v>30</v>
      </c>
      <c r="F1367" t="s">
        <v>76</v>
      </c>
      <c r="G1367" s="10">
        <v>45450</v>
      </c>
      <c r="H1367" t="s">
        <v>42</v>
      </c>
      <c r="I1367" t="s">
        <v>82</v>
      </c>
      <c r="J1367" t="s">
        <v>51</v>
      </c>
      <c r="K1367" t="s">
        <v>171</v>
      </c>
      <c r="L1367" t="s">
        <v>60</v>
      </c>
      <c r="M1367" t="s">
        <v>116</v>
      </c>
      <c r="N1367">
        <v>56</v>
      </c>
      <c r="O1367" t="s">
        <v>117</v>
      </c>
      <c r="P1367" s="11">
        <v>6900</v>
      </c>
      <c r="Q1367" t="s">
        <v>1071</v>
      </c>
      <c r="R1367" s="11">
        <f t="shared" si="42"/>
        <v>6900</v>
      </c>
      <c r="S1367" t="str">
        <f t="shared" si="43"/>
        <v>One-Time</v>
      </c>
    </row>
    <row r="1368" spans="1:19" ht="15" customHeight="1" x14ac:dyDescent="0.3">
      <c r="A1368">
        <v>1367</v>
      </c>
      <c r="B1368" t="s">
        <v>1852</v>
      </c>
      <c r="C1368">
        <v>7298234</v>
      </c>
      <c r="D1368" t="s">
        <v>114</v>
      </c>
      <c r="E1368">
        <v>49</v>
      </c>
      <c r="F1368" t="s">
        <v>76</v>
      </c>
      <c r="G1368" s="10">
        <v>45451</v>
      </c>
      <c r="H1368" t="s">
        <v>42</v>
      </c>
      <c r="I1368" t="s">
        <v>82</v>
      </c>
      <c r="J1368" t="s">
        <v>51</v>
      </c>
      <c r="K1368" t="s">
        <v>171</v>
      </c>
      <c r="L1368" t="s">
        <v>60</v>
      </c>
      <c r="M1368" t="s">
        <v>116</v>
      </c>
      <c r="N1368">
        <v>55</v>
      </c>
      <c r="O1368" t="s">
        <v>117</v>
      </c>
      <c r="P1368" s="11">
        <v>6900</v>
      </c>
      <c r="Q1368" t="s">
        <v>62</v>
      </c>
      <c r="R1368" s="11">
        <f t="shared" si="42"/>
        <v>6900</v>
      </c>
      <c r="S1368" t="str">
        <f t="shared" si="43"/>
        <v>One-Time</v>
      </c>
    </row>
    <row r="1369" spans="1:19" ht="15" customHeight="1" x14ac:dyDescent="0.3">
      <c r="A1369">
        <v>1368</v>
      </c>
      <c r="B1369" t="s">
        <v>1853</v>
      </c>
      <c r="C1369">
        <v>4771236</v>
      </c>
      <c r="D1369" t="s">
        <v>114</v>
      </c>
      <c r="E1369">
        <v>28</v>
      </c>
      <c r="F1369" t="s">
        <v>75</v>
      </c>
      <c r="G1369" s="10">
        <v>45452</v>
      </c>
      <c r="H1369" t="s">
        <v>42</v>
      </c>
      <c r="I1369" t="s">
        <v>82</v>
      </c>
      <c r="J1369" t="s">
        <v>51</v>
      </c>
      <c r="K1369" t="s">
        <v>171</v>
      </c>
      <c r="L1369" t="s">
        <v>60</v>
      </c>
      <c r="M1369" t="s">
        <v>116</v>
      </c>
      <c r="N1369">
        <v>5</v>
      </c>
      <c r="O1369" t="s">
        <v>117</v>
      </c>
      <c r="P1369" s="11">
        <v>6900</v>
      </c>
      <c r="Q1369" t="s">
        <v>68</v>
      </c>
      <c r="R1369" s="11">
        <f t="shared" si="42"/>
        <v>6900</v>
      </c>
      <c r="S1369" t="str">
        <f t="shared" si="43"/>
        <v>One-Time</v>
      </c>
    </row>
    <row r="1370" spans="1:19" ht="15" customHeight="1" x14ac:dyDescent="0.3">
      <c r="A1370">
        <v>1369</v>
      </c>
      <c r="B1370" t="s">
        <v>1854</v>
      </c>
      <c r="C1370">
        <v>2906637</v>
      </c>
      <c r="D1370" t="s">
        <v>114</v>
      </c>
      <c r="E1370">
        <v>23</v>
      </c>
      <c r="F1370" t="s">
        <v>75</v>
      </c>
      <c r="G1370" s="10">
        <v>45453</v>
      </c>
      <c r="H1370" t="s">
        <v>42</v>
      </c>
      <c r="I1370" t="s">
        <v>82</v>
      </c>
      <c r="J1370" t="s">
        <v>51</v>
      </c>
      <c r="K1370" t="s">
        <v>171</v>
      </c>
      <c r="L1370" t="s">
        <v>60</v>
      </c>
      <c r="M1370" t="s">
        <v>122</v>
      </c>
      <c r="N1370">
        <v>4</v>
      </c>
      <c r="O1370" t="s">
        <v>117</v>
      </c>
      <c r="P1370" s="11">
        <v>6900</v>
      </c>
      <c r="Q1370" t="s">
        <v>278</v>
      </c>
      <c r="R1370" s="11">
        <f t="shared" si="42"/>
        <v>6900</v>
      </c>
      <c r="S1370" t="str">
        <f t="shared" si="43"/>
        <v>One-Time</v>
      </c>
    </row>
    <row r="1371" spans="1:19" ht="15" customHeight="1" x14ac:dyDescent="0.3">
      <c r="A1371">
        <v>1370</v>
      </c>
      <c r="B1371" t="s">
        <v>1855</v>
      </c>
      <c r="C1371">
        <v>6316473</v>
      </c>
      <c r="D1371" t="s">
        <v>114</v>
      </c>
      <c r="E1371">
        <v>39</v>
      </c>
      <c r="F1371" t="s">
        <v>76</v>
      </c>
      <c r="G1371" s="10">
        <v>45454</v>
      </c>
      <c r="H1371" t="s">
        <v>42</v>
      </c>
      <c r="I1371" t="s">
        <v>82</v>
      </c>
      <c r="J1371" t="s">
        <v>51</v>
      </c>
      <c r="K1371" t="s">
        <v>171</v>
      </c>
      <c r="L1371" t="s">
        <v>60</v>
      </c>
      <c r="M1371" t="s">
        <v>122</v>
      </c>
      <c r="N1371">
        <v>8</v>
      </c>
      <c r="O1371" t="s">
        <v>117</v>
      </c>
      <c r="P1371" s="11">
        <v>6900</v>
      </c>
      <c r="Q1371" t="s">
        <v>66</v>
      </c>
      <c r="R1371" s="11">
        <f t="shared" si="42"/>
        <v>6900</v>
      </c>
      <c r="S1371" t="str">
        <f t="shared" si="43"/>
        <v>One-Time</v>
      </c>
    </row>
    <row r="1372" spans="1:19" ht="15" customHeight="1" x14ac:dyDescent="0.3">
      <c r="A1372">
        <v>1371</v>
      </c>
      <c r="B1372" t="s">
        <v>1856</v>
      </c>
      <c r="C1372">
        <v>1860368</v>
      </c>
      <c r="D1372" t="s">
        <v>114</v>
      </c>
      <c r="E1372">
        <v>62</v>
      </c>
      <c r="F1372" t="s">
        <v>77</v>
      </c>
      <c r="G1372" s="10">
        <v>45455</v>
      </c>
      <c r="H1372" t="s">
        <v>42</v>
      </c>
      <c r="I1372" t="s">
        <v>82</v>
      </c>
      <c r="J1372" t="s">
        <v>51</v>
      </c>
      <c r="K1372" t="s">
        <v>171</v>
      </c>
      <c r="L1372" t="s">
        <v>60</v>
      </c>
      <c r="M1372" t="s">
        <v>122</v>
      </c>
      <c r="N1372">
        <v>7</v>
      </c>
      <c r="O1372" t="s">
        <v>117</v>
      </c>
      <c r="P1372" s="11">
        <v>6900</v>
      </c>
      <c r="Q1372" t="s">
        <v>68</v>
      </c>
      <c r="R1372" s="11">
        <f t="shared" si="42"/>
        <v>6900</v>
      </c>
      <c r="S1372" t="str">
        <f t="shared" si="43"/>
        <v>One-Time</v>
      </c>
    </row>
    <row r="1373" spans="1:19" ht="15" customHeight="1" x14ac:dyDescent="0.3">
      <c r="A1373">
        <v>1372</v>
      </c>
      <c r="B1373" t="s">
        <v>1857</v>
      </c>
      <c r="C1373">
        <v>7120808</v>
      </c>
      <c r="D1373" t="s">
        <v>114</v>
      </c>
      <c r="E1373">
        <v>36</v>
      </c>
      <c r="F1373" t="s">
        <v>76</v>
      </c>
      <c r="G1373" s="10">
        <v>45456</v>
      </c>
      <c r="H1373" t="s">
        <v>42</v>
      </c>
      <c r="I1373" t="s">
        <v>82</v>
      </c>
      <c r="J1373" t="s">
        <v>51</v>
      </c>
      <c r="K1373" t="s">
        <v>171</v>
      </c>
      <c r="L1373" t="s">
        <v>60</v>
      </c>
      <c r="M1373" t="s">
        <v>122</v>
      </c>
      <c r="N1373">
        <v>9</v>
      </c>
      <c r="O1373" t="s">
        <v>117</v>
      </c>
      <c r="P1373" s="11">
        <v>6900</v>
      </c>
      <c r="Q1373" t="s">
        <v>1858</v>
      </c>
      <c r="R1373" s="11">
        <f t="shared" si="42"/>
        <v>6900</v>
      </c>
      <c r="S1373" t="str">
        <f t="shared" si="43"/>
        <v>One-Time</v>
      </c>
    </row>
    <row r="1374" spans="1:19" ht="15" customHeight="1" x14ac:dyDescent="0.3">
      <c r="A1374">
        <v>1373</v>
      </c>
      <c r="B1374" t="s">
        <v>1859</v>
      </c>
      <c r="C1374">
        <v>8385584</v>
      </c>
      <c r="D1374" t="s">
        <v>114</v>
      </c>
      <c r="E1374">
        <v>22</v>
      </c>
      <c r="F1374" t="s">
        <v>75</v>
      </c>
      <c r="G1374" s="10">
        <v>45457</v>
      </c>
      <c r="H1374" t="s">
        <v>42</v>
      </c>
      <c r="I1374" t="s">
        <v>82</v>
      </c>
      <c r="J1374" t="s">
        <v>51</v>
      </c>
      <c r="K1374" t="s">
        <v>115</v>
      </c>
      <c r="L1374" t="s">
        <v>60</v>
      </c>
      <c r="M1374" t="s">
        <v>122</v>
      </c>
      <c r="N1374">
        <v>3</v>
      </c>
      <c r="O1374" t="s">
        <v>117</v>
      </c>
      <c r="P1374" s="11">
        <v>6900</v>
      </c>
      <c r="Q1374" t="s">
        <v>1860</v>
      </c>
      <c r="R1374" s="11">
        <f t="shared" si="42"/>
        <v>6900</v>
      </c>
      <c r="S1374" t="str">
        <f t="shared" si="43"/>
        <v>Repeat</v>
      </c>
    </row>
    <row r="1375" spans="1:19" ht="15" customHeight="1" x14ac:dyDescent="0.3">
      <c r="A1375">
        <v>1374</v>
      </c>
      <c r="B1375" t="s">
        <v>1859</v>
      </c>
      <c r="C1375">
        <v>8385584</v>
      </c>
      <c r="D1375" t="s">
        <v>114</v>
      </c>
      <c r="E1375">
        <v>41</v>
      </c>
      <c r="F1375" t="s">
        <v>76</v>
      </c>
      <c r="G1375" s="10">
        <v>45458</v>
      </c>
      <c r="H1375" t="s">
        <v>42</v>
      </c>
      <c r="I1375" t="s">
        <v>82</v>
      </c>
      <c r="J1375" t="s">
        <v>51</v>
      </c>
      <c r="K1375" t="s">
        <v>115</v>
      </c>
      <c r="L1375" t="s">
        <v>60</v>
      </c>
      <c r="M1375" t="s">
        <v>122</v>
      </c>
      <c r="N1375">
        <v>32</v>
      </c>
      <c r="O1375" t="s">
        <v>117</v>
      </c>
      <c r="P1375" s="11">
        <v>6900</v>
      </c>
      <c r="Q1375" t="s">
        <v>180</v>
      </c>
      <c r="R1375" s="11">
        <f t="shared" si="42"/>
        <v>6900</v>
      </c>
      <c r="S1375" t="str">
        <f t="shared" si="43"/>
        <v>Repeat</v>
      </c>
    </row>
    <row r="1376" spans="1:19" ht="15" customHeight="1" x14ac:dyDescent="0.3">
      <c r="A1376">
        <v>1375</v>
      </c>
      <c r="B1376" t="s">
        <v>1861</v>
      </c>
      <c r="C1376">
        <v>8409362</v>
      </c>
      <c r="D1376" t="s">
        <v>114</v>
      </c>
      <c r="E1376">
        <v>42</v>
      </c>
      <c r="F1376" t="s">
        <v>76</v>
      </c>
      <c r="G1376" s="10">
        <v>45459</v>
      </c>
      <c r="H1376" t="s">
        <v>42</v>
      </c>
      <c r="I1376" t="s">
        <v>84</v>
      </c>
      <c r="J1376" t="s">
        <v>51</v>
      </c>
      <c r="K1376" t="s">
        <v>115</v>
      </c>
      <c r="L1376" t="s">
        <v>60</v>
      </c>
      <c r="M1376" t="s">
        <v>122</v>
      </c>
      <c r="N1376">
        <v>65</v>
      </c>
      <c r="O1376" t="s">
        <v>117</v>
      </c>
      <c r="P1376" s="11">
        <v>6900</v>
      </c>
      <c r="Q1376" t="s">
        <v>601</v>
      </c>
      <c r="R1376" s="11">
        <f t="shared" si="42"/>
        <v>0</v>
      </c>
      <c r="S1376" t="str">
        <f t="shared" si="43"/>
        <v>One-Time</v>
      </c>
    </row>
    <row r="1377" spans="1:19" ht="15" customHeight="1" x14ac:dyDescent="0.3">
      <c r="A1377">
        <v>1376</v>
      </c>
      <c r="B1377" t="s">
        <v>1862</v>
      </c>
      <c r="C1377">
        <v>3508652</v>
      </c>
      <c r="D1377" t="s">
        <v>114</v>
      </c>
      <c r="E1377">
        <v>24</v>
      </c>
      <c r="F1377" t="s">
        <v>75</v>
      </c>
      <c r="G1377" s="10">
        <v>45460</v>
      </c>
      <c r="H1377" t="s">
        <v>42</v>
      </c>
      <c r="I1377" t="s">
        <v>82</v>
      </c>
      <c r="J1377" t="s">
        <v>51</v>
      </c>
      <c r="K1377" t="s">
        <v>115</v>
      </c>
      <c r="L1377" t="s">
        <v>60</v>
      </c>
      <c r="M1377" t="s">
        <v>122</v>
      </c>
      <c r="N1377">
        <v>4</v>
      </c>
      <c r="O1377" t="s">
        <v>117</v>
      </c>
      <c r="P1377" s="11">
        <v>6900</v>
      </c>
      <c r="Q1377" t="s">
        <v>64</v>
      </c>
      <c r="R1377" s="11">
        <f t="shared" si="42"/>
        <v>6900</v>
      </c>
      <c r="S1377" t="str">
        <f t="shared" si="43"/>
        <v>One-Time</v>
      </c>
    </row>
    <row r="1378" spans="1:19" ht="15" customHeight="1" x14ac:dyDescent="0.3">
      <c r="A1378">
        <v>1377</v>
      </c>
      <c r="B1378" t="s">
        <v>1863</v>
      </c>
      <c r="C1378">
        <v>7981359</v>
      </c>
      <c r="D1378" t="s">
        <v>114</v>
      </c>
      <c r="E1378">
        <v>21</v>
      </c>
      <c r="F1378" t="s">
        <v>75</v>
      </c>
      <c r="G1378" s="10">
        <v>45461</v>
      </c>
      <c r="H1378" t="s">
        <v>42</v>
      </c>
      <c r="I1378" t="s">
        <v>82</v>
      </c>
      <c r="J1378" t="s">
        <v>51</v>
      </c>
      <c r="K1378" t="s">
        <v>115</v>
      </c>
      <c r="L1378" t="s">
        <v>60</v>
      </c>
      <c r="M1378" t="s">
        <v>122</v>
      </c>
      <c r="N1378">
        <v>1</v>
      </c>
      <c r="O1378" t="s">
        <v>117</v>
      </c>
      <c r="P1378" s="11">
        <v>6900</v>
      </c>
      <c r="Q1378" t="s">
        <v>65</v>
      </c>
      <c r="R1378" s="11">
        <f t="shared" si="42"/>
        <v>6900</v>
      </c>
      <c r="S1378" t="str">
        <f t="shared" si="43"/>
        <v>One-Time</v>
      </c>
    </row>
    <row r="1379" spans="1:19" ht="15" customHeight="1" x14ac:dyDescent="0.3">
      <c r="A1379">
        <v>1378</v>
      </c>
      <c r="B1379" t="s">
        <v>1864</v>
      </c>
      <c r="C1379">
        <v>7938814</v>
      </c>
      <c r="D1379" t="s">
        <v>114</v>
      </c>
      <c r="E1379">
        <v>32</v>
      </c>
      <c r="F1379" t="s">
        <v>76</v>
      </c>
      <c r="G1379" s="10">
        <v>45462</v>
      </c>
      <c r="H1379" t="s">
        <v>42</v>
      </c>
      <c r="I1379" t="s">
        <v>82</v>
      </c>
      <c r="J1379" t="s">
        <v>51</v>
      </c>
      <c r="K1379" t="s">
        <v>115</v>
      </c>
      <c r="L1379" t="s">
        <v>60</v>
      </c>
      <c r="M1379" t="s">
        <v>122</v>
      </c>
      <c r="N1379">
        <v>47</v>
      </c>
      <c r="O1379" t="s">
        <v>117</v>
      </c>
      <c r="P1379" s="11">
        <v>6900</v>
      </c>
      <c r="Q1379" t="s">
        <v>886</v>
      </c>
      <c r="R1379" s="11">
        <f t="shared" si="42"/>
        <v>6900</v>
      </c>
      <c r="S1379" t="str">
        <f t="shared" si="43"/>
        <v>One-Time</v>
      </c>
    </row>
    <row r="1380" spans="1:19" ht="15" customHeight="1" x14ac:dyDescent="0.3">
      <c r="A1380">
        <v>1379</v>
      </c>
      <c r="B1380" t="s">
        <v>1865</v>
      </c>
      <c r="C1380">
        <v>5730087</v>
      </c>
      <c r="D1380" t="s">
        <v>114</v>
      </c>
      <c r="E1380">
        <v>54</v>
      </c>
      <c r="F1380" t="s">
        <v>77</v>
      </c>
      <c r="G1380" s="10">
        <v>45463</v>
      </c>
      <c r="H1380" t="s">
        <v>42</v>
      </c>
      <c r="I1380" t="s">
        <v>82</v>
      </c>
      <c r="J1380" t="s">
        <v>51</v>
      </c>
      <c r="K1380" t="s">
        <v>115</v>
      </c>
      <c r="L1380" t="s">
        <v>60</v>
      </c>
      <c r="M1380" t="s">
        <v>122</v>
      </c>
      <c r="N1380">
        <v>3</v>
      </c>
      <c r="O1380" t="s">
        <v>117</v>
      </c>
      <c r="P1380" s="11">
        <v>6900</v>
      </c>
      <c r="Q1380" t="s">
        <v>512</v>
      </c>
      <c r="R1380" s="11">
        <f t="shared" si="42"/>
        <v>6900</v>
      </c>
      <c r="S1380" t="str">
        <f t="shared" si="43"/>
        <v>One-Time</v>
      </c>
    </row>
    <row r="1381" spans="1:19" ht="15" customHeight="1" x14ac:dyDescent="0.3">
      <c r="A1381">
        <v>1380</v>
      </c>
      <c r="B1381" t="s">
        <v>1866</v>
      </c>
      <c r="C1381">
        <v>1008629</v>
      </c>
      <c r="D1381" t="s">
        <v>114</v>
      </c>
      <c r="E1381">
        <v>19</v>
      </c>
      <c r="F1381" t="s">
        <v>75</v>
      </c>
      <c r="G1381" s="10">
        <v>45464</v>
      </c>
      <c r="H1381" t="s">
        <v>42</v>
      </c>
      <c r="I1381" t="s">
        <v>82</v>
      </c>
      <c r="J1381" t="s">
        <v>51</v>
      </c>
      <c r="K1381" t="s">
        <v>115</v>
      </c>
      <c r="L1381" t="s">
        <v>60</v>
      </c>
      <c r="M1381" t="s">
        <v>122</v>
      </c>
      <c r="N1381">
        <v>4</v>
      </c>
      <c r="O1381" t="s">
        <v>117</v>
      </c>
      <c r="P1381" s="11">
        <v>6900</v>
      </c>
      <c r="Q1381" t="s">
        <v>1867</v>
      </c>
      <c r="R1381" s="11">
        <f t="shared" si="42"/>
        <v>6900</v>
      </c>
      <c r="S1381" t="str">
        <f t="shared" si="43"/>
        <v>One-Time</v>
      </c>
    </row>
    <row r="1382" spans="1:19" ht="15" customHeight="1" x14ac:dyDescent="0.3">
      <c r="A1382">
        <v>1381</v>
      </c>
      <c r="B1382" t="s">
        <v>1868</v>
      </c>
      <c r="C1382">
        <v>1528185</v>
      </c>
      <c r="D1382" t="s">
        <v>114</v>
      </c>
      <c r="E1382">
        <v>36</v>
      </c>
      <c r="F1382" t="s">
        <v>76</v>
      </c>
      <c r="G1382" s="10">
        <v>45465</v>
      </c>
      <c r="H1382" t="s">
        <v>42</v>
      </c>
      <c r="I1382" t="s">
        <v>82</v>
      </c>
      <c r="J1382" t="s">
        <v>51</v>
      </c>
      <c r="K1382" t="s">
        <v>115</v>
      </c>
      <c r="L1382" t="s">
        <v>60</v>
      </c>
      <c r="M1382" t="s">
        <v>122</v>
      </c>
      <c r="N1382">
        <v>4</v>
      </c>
      <c r="O1382" t="s">
        <v>117</v>
      </c>
      <c r="P1382" s="11">
        <v>6900</v>
      </c>
      <c r="Q1382" t="s">
        <v>62</v>
      </c>
      <c r="R1382" s="11">
        <f t="shared" si="42"/>
        <v>6900</v>
      </c>
      <c r="S1382" t="str">
        <f t="shared" si="43"/>
        <v>One-Time</v>
      </c>
    </row>
    <row r="1383" spans="1:19" ht="15" customHeight="1" x14ac:dyDescent="0.3">
      <c r="A1383">
        <v>1382</v>
      </c>
      <c r="B1383" t="s">
        <v>1869</v>
      </c>
      <c r="C1383">
        <v>1908576</v>
      </c>
      <c r="D1383" t="s">
        <v>114</v>
      </c>
      <c r="E1383">
        <v>46</v>
      </c>
      <c r="F1383" t="s">
        <v>76</v>
      </c>
      <c r="G1383" s="10">
        <v>45466</v>
      </c>
      <c r="H1383" t="s">
        <v>42</v>
      </c>
      <c r="I1383" t="s">
        <v>82</v>
      </c>
      <c r="J1383" t="s">
        <v>51</v>
      </c>
      <c r="K1383" t="s">
        <v>115</v>
      </c>
      <c r="L1383" t="s">
        <v>60</v>
      </c>
      <c r="M1383" t="s">
        <v>122</v>
      </c>
      <c r="N1383">
        <v>9</v>
      </c>
      <c r="O1383" t="s">
        <v>117</v>
      </c>
      <c r="P1383" s="11">
        <v>6900</v>
      </c>
      <c r="Q1383" t="s">
        <v>63</v>
      </c>
      <c r="R1383" s="11">
        <f t="shared" si="42"/>
        <v>6900</v>
      </c>
      <c r="S1383" t="str">
        <f t="shared" si="43"/>
        <v>One-Time</v>
      </c>
    </row>
    <row r="1384" spans="1:19" ht="15" customHeight="1" x14ac:dyDescent="0.3">
      <c r="A1384">
        <v>1383</v>
      </c>
      <c r="B1384" t="s">
        <v>1870</v>
      </c>
      <c r="C1384">
        <v>8035303</v>
      </c>
      <c r="D1384" t="s">
        <v>114</v>
      </c>
      <c r="E1384">
        <v>26</v>
      </c>
      <c r="F1384" t="s">
        <v>75</v>
      </c>
      <c r="G1384" s="10">
        <v>45467</v>
      </c>
      <c r="H1384" t="s">
        <v>42</v>
      </c>
      <c r="I1384" t="s">
        <v>82</v>
      </c>
      <c r="J1384" t="s">
        <v>51</v>
      </c>
      <c r="K1384" t="s">
        <v>132</v>
      </c>
      <c r="L1384" t="s">
        <v>60</v>
      </c>
      <c r="M1384" t="s">
        <v>122</v>
      </c>
      <c r="N1384">
        <v>8</v>
      </c>
      <c r="O1384" t="s">
        <v>117</v>
      </c>
      <c r="P1384" s="11">
        <v>6900</v>
      </c>
      <c r="Q1384" t="s">
        <v>1198</v>
      </c>
      <c r="R1384" s="11">
        <f t="shared" si="42"/>
        <v>6900</v>
      </c>
      <c r="S1384" t="str">
        <f t="shared" si="43"/>
        <v>One-Time</v>
      </c>
    </row>
    <row r="1385" spans="1:19" ht="15" customHeight="1" x14ac:dyDescent="0.3">
      <c r="A1385">
        <v>1384</v>
      </c>
      <c r="B1385" t="s">
        <v>1871</v>
      </c>
      <c r="C1385">
        <v>9696755</v>
      </c>
      <c r="D1385" t="s">
        <v>114</v>
      </c>
      <c r="E1385">
        <v>31</v>
      </c>
      <c r="F1385" t="s">
        <v>76</v>
      </c>
      <c r="G1385" s="10">
        <v>45468</v>
      </c>
      <c r="H1385" t="s">
        <v>42</v>
      </c>
      <c r="I1385" t="s">
        <v>82</v>
      </c>
      <c r="J1385" t="s">
        <v>51</v>
      </c>
      <c r="K1385" t="s">
        <v>132</v>
      </c>
      <c r="L1385" t="s">
        <v>60</v>
      </c>
      <c r="M1385" t="s">
        <v>122</v>
      </c>
      <c r="N1385">
        <v>3</v>
      </c>
      <c r="O1385" t="s">
        <v>117</v>
      </c>
      <c r="P1385" s="11">
        <v>6300</v>
      </c>
      <c r="Q1385" t="s">
        <v>390</v>
      </c>
      <c r="R1385" s="11">
        <f t="shared" si="42"/>
        <v>6300</v>
      </c>
      <c r="S1385" t="str">
        <f t="shared" si="43"/>
        <v>One-Time</v>
      </c>
    </row>
    <row r="1386" spans="1:19" ht="15" customHeight="1" x14ac:dyDescent="0.3">
      <c r="A1386">
        <v>1385</v>
      </c>
      <c r="B1386" t="s">
        <v>1872</v>
      </c>
      <c r="C1386">
        <v>1679192</v>
      </c>
      <c r="D1386" t="s">
        <v>114</v>
      </c>
      <c r="E1386">
        <v>64</v>
      </c>
      <c r="F1386" t="s">
        <v>77</v>
      </c>
      <c r="G1386" s="10">
        <v>45469</v>
      </c>
      <c r="H1386" t="s">
        <v>42</v>
      </c>
      <c r="I1386" t="s">
        <v>82</v>
      </c>
      <c r="J1386" t="s">
        <v>51</v>
      </c>
      <c r="K1386" t="s">
        <v>132</v>
      </c>
      <c r="L1386" t="s">
        <v>60</v>
      </c>
      <c r="M1386" t="s">
        <v>122</v>
      </c>
      <c r="N1386">
        <v>6</v>
      </c>
      <c r="O1386" t="s">
        <v>117</v>
      </c>
      <c r="P1386" s="11">
        <v>6300</v>
      </c>
      <c r="Q1386" t="s">
        <v>65</v>
      </c>
      <c r="R1386" s="11">
        <f t="shared" si="42"/>
        <v>6300</v>
      </c>
      <c r="S1386" t="str">
        <f t="shared" si="43"/>
        <v>One-Time</v>
      </c>
    </row>
    <row r="1387" spans="1:19" ht="15" customHeight="1" x14ac:dyDescent="0.3">
      <c r="A1387">
        <v>1386</v>
      </c>
      <c r="B1387" t="s">
        <v>1873</v>
      </c>
      <c r="C1387">
        <v>1564787</v>
      </c>
      <c r="D1387" t="s">
        <v>114</v>
      </c>
      <c r="E1387">
        <v>43</v>
      </c>
      <c r="F1387" t="s">
        <v>76</v>
      </c>
      <c r="G1387" s="10">
        <v>45470</v>
      </c>
      <c r="H1387" t="s">
        <v>42</v>
      </c>
      <c r="I1387" t="s">
        <v>82</v>
      </c>
      <c r="J1387" t="s">
        <v>51</v>
      </c>
      <c r="K1387" t="s">
        <v>132</v>
      </c>
      <c r="L1387" t="s">
        <v>60</v>
      </c>
      <c r="M1387" t="s">
        <v>122</v>
      </c>
      <c r="N1387">
        <v>9</v>
      </c>
      <c r="O1387" t="s">
        <v>117</v>
      </c>
      <c r="P1387" s="11">
        <v>6300</v>
      </c>
      <c r="Q1387" t="s">
        <v>68</v>
      </c>
      <c r="R1387" s="11">
        <f t="shared" si="42"/>
        <v>6300</v>
      </c>
      <c r="S1387" t="str">
        <f t="shared" si="43"/>
        <v>One-Time</v>
      </c>
    </row>
    <row r="1388" spans="1:19" ht="15" customHeight="1" x14ac:dyDescent="0.3">
      <c r="A1388">
        <v>1387</v>
      </c>
      <c r="B1388" t="s">
        <v>1874</v>
      </c>
      <c r="C1388">
        <v>3896824</v>
      </c>
      <c r="D1388" t="s">
        <v>114</v>
      </c>
      <c r="E1388">
        <v>75</v>
      </c>
      <c r="F1388" t="s">
        <v>77</v>
      </c>
      <c r="G1388" s="10">
        <v>45471</v>
      </c>
      <c r="H1388" t="s">
        <v>42</v>
      </c>
      <c r="I1388" t="s">
        <v>82</v>
      </c>
      <c r="J1388" t="s">
        <v>51</v>
      </c>
      <c r="K1388" t="s">
        <v>132</v>
      </c>
      <c r="L1388" t="s">
        <v>60</v>
      </c>
      <c r="M1388" t="s">
        <v>122</v>
      </c>
      <c r="N1388">
        <v>2</v>
      </c>
      <c r="O1388" t="s">
        <v>117</v>
      </c>
      <c r="P1388" s="11">
        <v>6300</v>
      </c>
      <c r="Q1388" t="s">
        <v>1264</v>
      </c>
      <c r="R1388" s="11">
        <f t="shared" si="42"/>
        <v>6300</v>
      </c>
      <c r="S1388" t="str">
        <f t="shared" si="43"/>
        <v>One-Time</v>
      </c>
    </row>
    <row r="1389" spans="1:19" ht="15" customHeight="1" x14ac:dyDescent="0.3">
      <c r="A1389">
        <v>1388</v>
      </c>
      <c r="B1389" t="s">
        <v>1875</v>
      </c>
      <c r="C1389">
        <v>6528768</v>
      </c>
      <c r="D1389" t="s">
        <v>114</v>
      </c>
      <c r="E1389">
        <v>44</v>
      </c>
      <c r="F1389" t="s">
        <v>76</v>
      </c>
      <c r="G1389" s="10">
        <v>45472</v>
      </c>
      <c r="H1389" t="s">
        <v>42</v>
      </c>
      <c r="I1389" t="s">
        <v>83</v>
      </c>
      <c r="J1389" t="s">
        <v>51</v>
      </c>
      <c r="K1389" t="s">
        <v>132</v>
      </c>
      <c r="L1389" t="s">
        <v>57</v>
      </c>
      <c r="M1389" t="s">
        <v>122</v>
      </c>
      <c r="N1389">
        <v>5</v>
      </c>
      <c r="O1389" t="s">
        <v>117</v>
      </c>
      <c r="P1389" s="11">
        <v>6300</v>
      </c>
      <c r="Q1389" t="s">
        <v>66</v>
      </c>
      <c r="R1389" s="11">
        <f t="shared" si="42"/>
        <v>0</v>
      </c>
      <c r="S1389" t="str">
        <f t="shared" si="43"/>
        <v>One-Time</v>
      </c>
    </row>
    <row r="1390" spans="1:19" ht="15" customHeight="1" x14ac:dyDescent="0.3">
      <c r="A1390">
        <v>1389</v>
      </c>
      <c r="B1390" t="s">
        <v>1876</v>
      </c>
      <c r="C1390">
        <v>5099210</v>
      </c>
      <c r="D1390" t="s">
        <v>114</v>
      </c>
      <c r="E1390">
        <v>22</v>
      </c>
      <c r="F1390" t="s">
        <v>75</v>
      </c>
      <c r="G1390" s="10">
        <v>45473</v>
      </c>
      <c r="H1390" t="s">
        <v>42</v>
      </c>
      <c r="I1390" t="s">
        <v>83</v>
      </c>
      <c r="J1390" t="s">
        <v>51</v>
      </c>
      <c r="K1390" t="s">
        <v>132</v>
      </c>
      <c r="L1390" t="s">
        <v>57</v>
      </c>
      <c r="M1390" t="s">
        <v>122</v>
      </c>
      <c r="N1390">
        <v>6</v>
      </c>
      <c r="O1390" t="s">
        <v>117</v>
      </c>
      <c r="P1390" s="11">
        <v>6300</v>
      </c>
      <c r="Q1390" t="s">
        <v>63</v>
      </c>
      <c r="R1390" s="11">
        <f t="shared" si="42"/>
        <v>0</v>
      </c>
      <c r="S1390" t="str">
        <f t="shared" si="43"/>
        <v>One-Time</v>
      </c>
    </row>
    <row r="1391" spans="1:19" ht="15" customHeight="1" x14ac:dyDescent="0.3">
      <c r="A1391">
        <v>1390</v>
      </c>
      <c r="B1391" t="s">
        <v>1877</v>
      </c>
      <c r="C1391">
        <v>6350746</v>
      </c>
      <c r="D1391" t="s">
        <v>114</v>
      </c>
      <c r="E1391">
        <v>28</v>
      </c>
      <c r="F1391" t="s">
        <v>75</v>
      </c>
      <c r="G1391" s="10">
        <v>45474</v>
      </c>
      <c r="H1391" t="s">
        <v>43</v>
      </c>
      <c r="I1391" t="s">
        <v>83</v>
      </c>
      <c r="J1391" t="s">
        <v>51</v>
      </c>
      <c r="K1391" t="s">
        <v>132</v>
      </c>
      <c r="L1391" t="s">
        <v>57</v>
      </c>
      <c r="M1391" t="s">
        <v>122</v>
      </c>
      <c r="N1391">
        <v>9</v>
      </c>
      <c r="O1391" t="s">
        <v>117</v>
      </c>
      <c r="P1391" s="11">
        <v>6300</v>
      </c>
      <c r="Q1391" t="s">
        <v>1878</v>
      </c>
      <c r="R1391" s="11">
        <f t="shared" si="42"/>
        <v>0</v>
      </c>
      <c r="S1391" t="str">
        <f t="shared" si="43"/>
        <v>One-Time</v>
      </c>
    </row>
    <row r="1392" spans="1:19" ht="15" customHeight="1" x14ac:dyDescent="0.3">
      <c r="A1392">
        <v>1391</v>
      </c>
      <c r="B1392" t="s">
        <v>1879</v>
      </c>
      <c r="C1392">
        <v>6139036</v>
      </c>
      <c r="D1392" t="s">
        <v>114</v>
      </c>
      <c r="E1392">
        <v>66</v>
      </c>
      <c r="F1392" t="s">
        <v>77</v>
      </c>
      <c r="G1392" s="10">
        <v>45475</v>
      </c>
      <c r="H1392" t="s">
        <v>43</v>
      </c>
      <c r="I1392" t="s">
        <v>82</v>
      </c>
      <c r="J1392" t="s">
        <v>51</v>
      </c>
      <c r="K1392" t="s">
        <v>132</v>
      </c>
      <c r="L1392" t="s">
        <v>57</v>
      </c>
      <c r="M1392" t="s">
        <v>122</v>
      </c>
      <c r="N1392">
        <v>7</v>
      </c>
      <c r="O1392" t="s">
        <v>117</v>
      </c>
      <c r="P1392" s="11">
        <v>6300</v>
      </c>
      <c r="Q1392" t="s">
        <v>1046</v>
      </c>
      <c r="R1392" s="11">
        <f t="shared" si="42"/>
        <v>6300</v>
      </c>
      <c r="S1392" t="str">
        <f t="shared" si="43"/>
        <v>One-Time</v>
      </c>
    </row>
    <row r="1393" spans="1:19" ht="15" customHeight="1" x14ac:dyDescent="0.3">
      <c r="A1393">
        <v>1392</v>
      </c>
      <c r="B1393" t="s">
        <v>1880</v>
      </c>
      <c r="C1393">
        <v>6549790</v>
      </c>
      <c r="D1393" t="s">
        <v>114</v>
      </c>
      <c r="E1393">
        <v>41</v>
      </c>
      <c r="F1393" t="s">
        <v>76</v>
      </c>
      <c r="G1393" s="10">
        <v>45476</v>
      </c>
      <c r="H1393" t="s">
        <v>43</v>
      </c>
      <c r="I1393" t="s">
        <v>82</v>
      </c>
      <c r="J1393" t="s">
        <v>51</v>
      </c>
      <c r="K1393" t="s">
        <v>132</v>
      </c>
      <c r="L1393" t="s">
        <v>57</v>
      </c>
      <c r="M1393" t="s">
        <v>122</v>
      </c>
      <c r="N1393">
        <v>81</v>
      </c>
      <c r="O1393" t="s">
        <v>117</v>
      </c>
      <c r="P1393" s="11">
        <v>6300</v>
      </c>
      <c r="Q1393" t="s">
        <v>278</v>
      </c>
      <c r="R1393" s="11">
        <f t="shared" si="42"/>
        <v>6300</v>
      </c>
      <c r="S1393" t="str">
        <f t="shared" si="43"/>
        <v>One-Time</v>
      </c>
    </row>
    <row r="1394" spans="1:19" ht="15" customHeight="1" x14ac:dyDescent="0.3">
      <c r="A1394">
        <v>1393</v>
      </c>
      <c r="B1394" t="s">
        <v>1881</v>
      </c>
      <c r="C1394">
        <v>1912718</v>
      </c>
      <c r="D1394" t="s">
        <v>114</v>
      </c>
      <c r="E1394">
        <v>30</v>
      </c>
      <c r="F1394" t="s">
        <v>76</v>
      </c>
      <c r="G1394" s="10">
        <v>45477</v>
      </c>
      <c r="H1394" t="s">
        <v>43</v>
      </c>
      <c r="I1394" t="s">
        <v>82</v>
      </c>
      <c r="J1394" t="s">
        <v>51</v>
      </c>
      <c r="K1394" t="s">
        <v>132</v>
      </c>
      <c r="L1394" t="s">
        <v>57</v>
      </c>
      <c r="M1394" t="s">
        <v>122</v>
      </c>
      <c r="N1394">
        <v>24</v>
      </c>
      <c r="O1394" t="s">
        <v>117</v>
      </c>
      <c r="P1394" s="11">
        <v>6300</v>
      </c>
      <c r="Q1394" t="s">
        <v>67</v>
      </c>
      <c r="R1394" s="11">
        <f t="shared" si="42"/>
        <v>6300</v>
      </c>
      <c r="S1394" t="str">
        <f t="shared" si="43"/>
        <v>One-Time</v>
      </c>
    </row>
    <row r="1395" spans="1:19" ht="15" customHeight="1" x14ac:dyDescent="0.3">
      <c r="A1395">
        <v>1394</v>
      </c>
      <c r="B1395" t="s">
        <v>1882</v>
      </c>
      <c r="C1395">
        <v>2345765</v>
      </c>
      <c r="D1395" t="s">
        <v>114</v>
      </c>
      <c r="E1395">
        <v>30</v>
      </c>
      <c r="F1395" t="s">
        <v>76</v>
      </c>
      <c r="G1395" s="10">
        <v>45478</v>
      </c>
      <c r="H1395" t="s">
        <v>43</v>
      </c>
      <c r="I1395" t="s">
        <v>82</v>
      </c>
      <c r="J1395" t="s">
        <v>51</v>
      </c>
      <c r="K1395" t="s">
        <v>132</v>
      </c>
      <c r="L1395" t="s">
        <v>57</v>
      </c>
      <c r="M1395" t="s">
        <v>122</v>
      </c>
      <c r="N1395">
        <v>56</v>
      </c>
      <c r="O1395" t="s">
        <v>117</v>
      </c>
      <c r="P1395" s="11">
        <v>6300</v>
      </c>
      <c r="Q1395" t="s">
        <v>1883</v>
      </c>
      <c r="R1395" s="11">
        <f t="shared" si="42"/>
        <v>6300</v>
      </c>
      <c r="S1395" t="str">
        <f t="shared" si="43"/>
        <v>One-Time</v>
      </c>
    </row>
    <row r="1396" spans="1:19" ht="15" customHeight="1" x14ac:dyDescent="0.3">
      <c r="A1396">
        <v>1395</v>
      </c>
      <c r="B1396" t="s">
        <v>1884</v>
      </c>
      <c r="C1396">
        <v>9054821</v>
      </c>
      <c r="D1396" t="s">
        <v>114</v>
      </c>
      <c r="E1396">
        <v>34</v>
      </c>
      <c r="F1396" t="s">
        <v>76</v>
      </c>
      <c r="G1396" s="10">
        <v>45479</v>
      </c>
      <c r="H1396" t="s">
        <v>43</v>
      </c>
      <c r="I1396" t="s">
        <v>82</v>
      </c>
      <c r="J1396" t="s">
        <v>51</v>
      </c>
      <c r="K1396" t="s">
        <v>132</v>
      </c>
      <c r="L1396" t="s">
        <v>57</v>
      </c>
      <c r="M1396" t="s">
        <v>122</v>
      </c>
      <c r="N1396">
        <v>55</v>
      </c>
      <c r="O1396" t="s">
        <v>117</v>
      </c>
      <c r="P1396" s="11">
        <v>6300</v>
      </c>
      <c r="Q1396" t="s">
        <v>1885</v>
      </c>
      <c r="R1396" s="11">
        <f t="shared" si="42"/>
        <v>6300</v>
      </c>
      <c r="S1396" t="str">
        <f t="shared" si="43"/>
        <v>One-Time</v>
      </c>
    </row>
    <row r="1397" spans="1:19" ht="15" customHeight="1" x14ac:dyDescent="0.3">
      <c r="A1397">
        <v>1396</v>
      </c>
      <c r="B1397" t="s">
        <v>1886</v>
      </c>
      <c r="C1397">
        <v>8065116</v>
      </c>
      <c r="D1397" t="s">
        <v>114</v>
      </c>
      <c r="E1397">
        <v>51</v>
      </c>
      <c r="F1397" t="s">
        <v>77</v>
      </c>
      <c r="G1397" s="10">
        <v>45480</v>
      </c>
      <c r="H1397" t="s">
        <v>43</v>
      </c>
      <c r="I1397" t="s">
        <v>82</v>
      </c>
      <c r="J1397" t="s">
        <v>51</v>
      </c>
      <c r="K1397" t="s">
        <v>132</v>
      </c>
      <c r="L1397" t="s">
        <v>57</v>
      </c>
      <c r="M1397" t="s">
        <v>122</v>
      </c>
      <c r="N1397">
        <v>5</v>
      </c>
      <c r="O1397" t="s">
        <v>117</v>
      </c>
      <c r="P1397" s="11">
        <v>6300</v>
      </c>
      <c r="Q1397" t="s">
        <v>1507</v>
      </c>
      <c r="R1397" s="11">
        <f t="shared" si="42"/>
        <v>6300</v>
      </c>
      <c r="S1397" t="str">
        <f t="shared" si="43"/>
        <v>One-Time</v>
      </c>
    </row>
    <row r="1398" spans="1:19" ht="15" customHeight="1" x14ac:dyDescent="0.3">
      <c r="A1398">
        <v>1397</v>
      </c>
      <c r="B1398" t="s">
        <v>1887</v>
      </c>
      <c r="C1398">
        <v>2516921</v>
      </c>
      <c r="D1398" t="s">
        <v>114</v>
      </c>
      <c r="E1398">
        <v>34</v>
      </c>
      <c r="F1398" t="s">
        <v>76</v>
      </c>
      <c r="G1398" s="10">
        <v>45481</v>
      </c>
      <c r="H1398" t="s">
        <v>43</v>
      </c>
      <c r="I1398" t="s">
        <v>82</v>
      </c>
      <c r="J1398" t="s">
        <v>51</v>
      </c>
      <c r="K1398" t="s">
        <v>132</v>
      </c>
      <c r="L1398" t="s">
        <v>57</v>
      </c>
      <c r="M1398" t="s">
        <v>122</v>
      </c>
      <c r="N1398">
        <v>4</v>
      </c>
      <c r="O1398" t="s">
        <v>117</v>
      </c>
      <c r="P1398" s="11">
        <v>6600</v>
      </c>
      <c r="Q1398" t="s">
        <v>298</v>
      </c>
      <c r="R1398" s="11">
        <f t="shared" si="42"/>
        <v>6600</v>
      </c>
      <c r="S1398" t="str">
        <f t="shared" si="43"/>
        <v>One-Time</v>
      </c>
    </row>
    <row r="1399" spans="1:19" ht="15" customHeight="1" x14ac:dyDescent="0.3">
      <c r="A1399">
        <v>1398</v>
      </c>
      <c r="B1399" t="s">
        <v>1888</v>
      </c>
      <c r="C1399">
        <v>3759418</v>
      </c>
      <c r="D1399" t="s">
        <v>114</v>
      </c>
      <c r="E1399">
        <v>40</v>
      </c>
      <c r="F1399" t="s">
        <v>76</v>
      </c>
      <c r="G1399" s="10">
        <v>45482</v>
      </c>
      <c r="H1399" t="s">
        <v>43</v>
      </c>
      <c r="I1399" t="s">
        <v>82</v>
      </c>
      <c r="J1399" t="s">
        <v>51</v>
      </c>
      <c r="K1399" t="s">
        <v>132</v>
      </c>
      <c r="L1399" t="s">
        <v>57</v>
      </c>
      <c r="M1399" t="s">
        <v>122</v>
      </c>
      <c r="N1399">
        <v>8</v>
      </c>
      <c r="O1399" t="s">
        <v>117</v>
      </c>
      <c r="P1399" s="11">
        <v>6600</v>
      </c>
      <c r="Q1399" t="s">
        <v>62</v>
      </c>
      <c r="R1399" s="11">
        <f t="shared" si="42"/>
        <v>6600</v>
      </c>
      <c r="S1399" t="str">
        <f t="shared" si="43"/>
        <v>One-Time</v>
      </c>
    </row>
    <row r="1400" spans="1:19" ht="15" customHeight="1" x14ac:dyDescent="0.3">
      <c r="A1400">
        <v>1399</v>
      </c>
      <c r="B1400" t="s">
        <v>1889</v>
      </c>
      <c r="C1400">
        <v>4141277</v>
      </c>
      <c r="D1400" t="s">
        <v>114</v>
      </c>
      <c r="E1400">
        <v>34</v>
      </c>
      <c r="F1400" t="s">
        <v>76</v>
      </c>
      <c r="G1400" s="10">
        <v>45483</v>
      </c>
      <c r="H1400" t="s">
        <v>43</v>
      </c>
      <c r="I1400" t="s">
        <v>82</v>
      </c>
      <c r="J1400" t="s">
        <v>51</v>
      </c>
      <c r="K1400" t="s">
        <v>132</v>
      </c>
      <c r="L1400" t="s">
        <v>57</v>
      </c>
      <c r="M1400" t="s">
        <v>122</v>
      </c>
      <c r="N1400">
        <v>7</v>
      </c>
      <c r="O1400" t="s">
        <v>117</v>
      </c>
      <c r="P1400" s="11">
        <v>6600</v>
      </c>
      <c r="Q1400" t="s">
        <v>62</v>
      </c>
      <c r="R1400" s="11">
        <f t="shared" si="42"/>
        <v>6600</v>
      </c>
      <c r="S1400" t="str">
        <f t="shared" si="43"/>
        <v>One-Time</v>
      </c>
    </row>
    <row r="1401" spans="1:19" ht="15" customHeight="1" x14ac:dyDescent="0.3">
      <c r="A1401">
        <v>1400</v>
      </c>
      <c r="B1401" t="s">
        <v>1890</v>
      </c>
      <c r="C1401">
        <v>9333662</v>
      </c>
      <c r="D1401" t="s">
        <v>114</v>
      </c>
      <c r="E1401">
        <v>49</v>
      </c>
      <c r="F1401" t="s">
        <v>76</v>
      </c>
      <c r="G1401" s="10">
        <v>45484</v>
      </c>
      <c r="H1401" t="s">
        <v>43</v>
      </c>
      <c r="I1401" t="s">
        <v>82</v>
      </c>
      <c r="J1401" t="s">
        <v>51</v>
      </c>
      <c r="K1401" t="s">
        <v>132</v>
      </c>
      <c r="L1401" t="s">
        <v>57</v>
      </c>
      <c r="M1401" t="s">
        <v>315</v>
      </c>
      <c r="N1401">
        <v>9</v>
      </c>
      <c r="O1401" t="s">
        <v>117</v>
      </c>
      <c r="P1401" s="11">
        <v>6600</v>
      </c>
      <c r="Q1401" t="s">
        <v>1891</v>
      </c>
      <c r="R1401" s="11">
        <f t="shared" si="42"/>
        <v>6600</v>
      </c>
      <c r="S1401" t="str">
        <f t="shared" si="43"/>
        <v>One-Time</v>
      </c>
    </row>
    <row r="1402" spans="1:19" ht="15" customHeight="1" x14ac:dyDescent="0.3">
      <c r="A1402">
        <v>1401</v>
      </c>
      <c r="B1402" t="s">
        <v>1892</v>
      </c>
      <c r="C1402">
        <v>771338</v>
      </c>
      <c r="D1402" t="s">
        <v>114</v>
      </c>
      <c r="E1402">
        <v>72</v>
      </c>
      <c r="F1402" t="s">
        <v>77</v>
      </c>
      <c r="G1402" s="10">
        <v>45485</v>
      </c>
      <c r="H1402" t="s">
        <v>43</v>
      </c>
      <c r="I1402" t="s">
        <v>82</v>
      </c>
      <c r="J1402" t="s">
        <v>51</v>
      </c>
      <c r="K1402" t="s">
        <v>132</v>
      </c>
      <c r="L1402" t="s">
        <v>57</v>
      </c>
      <c r="M1402" t="s">
        <v>315</v>
      </c>
      <c r="N1402">
        <v>3</v>
      </c>
      <c r="O1402" t="s">
        <v>117</v>
      </c>
      <c r="P1402" s="11">
        <v>6500</v>
      </c>
      <c r="Q1402" t="s">
        <v>1893</v>
      </c>
      <c r="R1402" s="11">
        <f t="shared" si="42"/>
        <v>6500</v>
      </c>
      <c r="S1402" t="str">
        <f t="shared" si="43"/>
        <v>One-Time</v>
      </c>
    </row>
    <row r="1403" spans="1:19" ht="15" customHeight="1" x14ac:dyDescent="0.3">
      <c r="A1403">
        <v>1402</v>
      </c>
      <c r="B1403" t="s">
        <v>1894</v>
      </c>
      <c r="C1403">
        <v>6544214</v>
      </c>
      <c r="D1403" t="s">
        <v>114</v>
      </c>
      <c r="E1403">
        <v>33</v>
      </c>
      <c r="F1403" t="s">
        <v>76</v>
      </c>
      <c r="G1403" s="10">
        <v>45486</v>
      </c>
      <c r="H1403" t="s">
        <v>43</v>
      </c>
      <c r="I1403" t="s">
        <v>85</v>
      </c>
      <c r="J1403" t="s">
        <v>51</v>
      </c>
      <c r="K1403" t="s">
        <v>132</v>
      </c>
      <c r="L1403" t="s">
        <v>57</v>
      </c>
      <c r="M1403" t="s">
        <v>315</v>
      </c>
      <c r="N1403">
        <v>32</v>
      </c>
      <c r="O1403" t="s">
        <v>117</v>
      </c>
      <c r="P1403" s="11">
        <v>6500</v>
      </c>
      <c r="Q1403" t="s">
        <v>62</v>
      </c>
      <c r="R1403" s="11">
        <f t="shared" si="42"/>
        <v>0</v>
      </c>
      <c r="S1403" t="str">
        <f t="shared" si="43"/>
        <v>One-Time</v>
      </c>
    </row>
    <row r="1404" spans="1:19" ht="15" customHeight="1" x14ac:dyDescent="0.3">
      <c r="A1404">
        <v>1403</v>
      </c>
      <c r="B1404" t="s">
        <v>1895</v>
      </c>
      <c r="C1404">
        <v>9213513</v>
      </c>
      <c r="D1404" t="s">
        <v>114</v>
      </c>
      <c r="E1404">
        <v>21</v>
      </c>
      <c r="F1404" t="s">
        <v>75</v>
      </c>
      <c r="G1404" s="10">
        <v>45487</v>
      </c>
      <c r="H1404" t="s">
        <v>43</v>
      </c>
      <c r="I1404" t="s">
        <v>82</v>
      </c>
      <c r="J1404" t="s">
        <v>51</v>
      </c>
      <c r="K1404" t="s">
        <v>132</v>
      </c>
      <c r="L1404" t="s">
        <v>57</v>
      </c>
      <c r="M1404" t="s">
        <v>315</v>
      </c>
      <c r="N1404">
        <v>65</v>
      </c>
      <c r="O1404" t="s">
        <v>117</v>
      </c>
      <c r="P1404" s="11">
        <v>6500</v>
      </c>
      <c r="Q1404" t="s">
        <v>68</v>
      </c>
      <c r="R1404" s="11">
        <f t="shared" si="42"/>
        <v>6500</v>
      </c>
      <c r="S1404" t="str">
        <f t="shared" si="43"/>
        <v>One-Time</v>
      </c>
    </row>
    <row r="1405" spans="1:19" ht="15" customHeight="1" x14ac:dyDescent="0.3">
      <c r="A1405">
        <v>1404</v>
      </c>
      <c r="B1405" t="s">
        <v>1896</v>
      </c>
      <c r="C1405">
        <v>433643</v>
      </c>
      <c r="D1405" t="s">
        <v>114</v>
      </c>
      <c r="E1405">
        <v>71</v>
      </c>
      <c r="F1405" t="s">
        <v>77</v>
      </c>
      <c r="G1405" s="10">
        <v>45488</v>
      </c>
      <c r="H1405" t="s">
        <v>43</v>
      </c>
      <c r="I1405" t="s">
        <v>82</v>
      </c>
      <c r="J1405" t="s">
        <v>51</v>
      </c>
      <c r="K1405" t="s">
        <v>132</v>
      </c>
      <c r="L1405" t="s">
        <v>57</v>
      </c>
      <c r="M1405" t="s">
        <v>315</v>
      </c>
      <c r="N1405">
        <v>4</v>
      </c>
      <c r="O1405" t="s">
        <v>117</v>
      </c>
      <c r="P1405" s="11">
        <v>6500</v>
      </c>
      <c r="Q1405" t="s">
        <v>62</v>
      </c>
      <c r="R1405" s="11">
        <f t="shared" si="42"/>
        <v>6500</v>
      </c>
      <c r="S1405" t="str">
        <f t="shared" si="43"/>
        <v>One-Time</v>
      </c>
    </row>
    <row r="1406" spans="1:19" ht="15" customHeight="1" x14ac:dyDescent="0.3">
      <c r="A1406">
        <v>1405</v>
      </c>
      <c r="B1406" t="s">
        <v>1897</v>
      </c>
      <c r="C1406">
        <v>7430723</v>
      </c>
      <c r="D1406" t="s">
        <v>114</v>
      </c>
      <c r="E1406">
        <v>67</v>
      </c>
      <c r="F1406" t="s">
        <v>77</v>
      </c>
      <c r="G1406" s="10">
        <v>45489</v>
      </c>
      <c r="H1406" t="s">
        <v>43</v>
      </c>
      <c r="I1406" t="s">
        <v>82</v>
      </c>
      <c r="J1406" t="s">
        <v>51</v>
      </c>
      <c r="K1406" t="s">
        <v>132</v>
      </c>
      <c r="L1406" t="s">
        <v>57</v>
      </c>
      <c r="M1406" t="s">
        <v>315</v>
      </c>
      <c r="N1406">
        <v>1</v>
      </c>
      <c r="O1406" t="s">
        <v>117</v>
      </c>
      <c r="P1406" s="11">
        <v>6500</v>
      </c>
      <c r="Q1406" t="s">
        <v>65</v>
      </c>
      <c r="R1406" s="11">
        <f t="shared" si="42"/>
        <v>6500</v>
      </c>
      <c r="S1406" t="str">
        <f t="shared" si="43"/>
        <v>One-Time</v>
      </c>
    </row>
    <row r="1407" spans="1:19" ht="15" customHeight="1" x14ac:dyDescent="0.3">
      <c r="A1407">
        <v>1406</v>
      </c>
      <c r="B1407" t="s">
        <v>1898</v>
      </c>
      <c r="C1407">
        <v>2912274</v>
      </c>
      <c r="D1407" t="s">
        <v>114</v>
      </c>
      <c r="E1407">
        <v>53</v>
      </c>
      <c r="F1407" t="s">
        <v>77</v>
      </c>
      <c r="G1407" s="10">
        <v>45490</v>
      </c>
      <c r="H1407" t="s">
        <v>43</v>
      </c>
      <c r="I1407" t="s">
        <v>82</v>
      </c>
      <c r="J1407" t="s">
        <v>51</v>
      </c>
      <c r="K1407" t="s">
        <v>132</v>
      </c>
      <c r="L1407" t="s">
        <v>57</v>
      </c>
      <c r="M1407" t="s">
        <v>315</v>
      </c>
      <c r="N1407">
        <v>47</v>
      </c>
      <c r="O1407" t="s">
        <v>117</v>
      </c>
      <c r="P1407" s="11">
        <v>6500</v>
      </c>
      <c r="Q1407" t="s">
        <v>1046</v>
      </c>
      <c r="R1407" s="11">
        <f t="shared" si="42"/>
        <v>6500</v>
      </c>
      <c r="S1407" t="str">
        <f t="shared" si="43"/>
        <v>One-Time</v>
      </c>
    </row>
    <row r="1408" spans="1:19" ht="15" customHeight="1" x14ac:dyDescent="0.3">
      <c r="A1408">
        <v>1407</v>
      </c>
      <c r="B1408" t="s">
        <v>1899</v>
      </c>
      <c r="C1408">
        <v>23422</v>
      </c>
      <c r="D1408" t="s">
        <v>114</v>
      </c>
      <c r="E1408">
        <v>23</v>
      </c>
      <c r="F1408" t="s">
        <v>75</v>
      </c>
      <c r="G1408" s="10">
        <v>45491</v>
      </c>
      <c r="H1408" t="s">
        <v>43</v>
      </c>
      <c r="I1408" t="s">
        <v>82</v>
      </c>
      <c r="J1408" t="s">
        <v>51</v>
      </c>
      <c r="K1408" t="s">
        <v>132</v>
      </c>
      <c r="L1408" t="s">
        <v>57</v>
      </c>
      <c r="M1408" t="s">
        <v>315</v>
      </c>
      <c r="N1408">
        <v>8</v>
      </c>
      <c r="O1408" t="s">
        <v>117</v>
      </c>
      <c r="P1408" s="11">
        <v>6500</v>
      </c>
      <c r="Q1408" t="s">
        <v>1900</v>
      </c>
      <c r="R1408" s="11">
        <f t="shared" si="42"/>
        <v>6500</v>
      </c>
      <c r="S1408" t="str">
        <f t="shared" si="43"/>
        <v>One-Time</v>
      </c>
    </row>
    <row r="1409" spans="1:19" ht="15" customHeight="1" x14ac:dyDescent="0.3">
      <c r="A1409">
        <v>1408</v>
      </c>
      <c r="B1409" t="s">
        <v>1901</v>
      </c>
      <c r="C1409">
        <v>7234922</v>
      </c>
      <c r="D1409" t="s">
        <v>114</v>
      </c>
      <c r="E1409">
        <v>50</v>
      </c>
      <c r="F1409" t="s">
        <v>77</v>
      </c>
      <c r="G1409" s="10">
        <v>45492</v>
      </c>
      <c r="H1409" t="s">
        <v>43</v>
      </c>
      <c r="I1409" t="s">
        <v>82</v>
      </c>
      <c r="J1409" t="s">
        <v>51</v>
      </c>
      <c r="K1409" t="s">
        <v>132</v>
      </c>
      <c r="L1409" t="s">
        <v>57</v>
      </c>
      <c r="M1409" t="s">
        <v>315</v>
      </c>
      <c r="N1409">
        <v>4</v>
      </c>
      <c r="O1409" t="s">
        <v>117</v>
      </c>
      <c r="P1409" s="11">
        <v>7500</v>
      </c>
      <c r="Q1409" t="s">
        <v>64</v>
      </c>
      <c r="R1409" s="11">
        <f t="shared" si="42"/>
        <v>7500</v>
      </c>
      <c r="S1409" t="str">
        <f t="shared" si="43"/>
        <v>One-Time</v>
      </c>
    </row>
    <row r="1410" spans="1:19" ht="15" customHeight="1" x14ac:dyDescent="0.3">
      <c r="A1410">
        <v>1409</v>
      </c>
      <c r="B1410" t="s">
        <v>1902</v>
      </c>
      <c r="C1410">
        <v>490840</v>
      </c>
      <c r="D1410" t="s">
        <v>114</v>
      </c>
      <c r="E1410">
        <v>35</v>
      </c>
      <c r="F1410" t="s">
        <v>76</v>
      </c>
      <c r="G1410" s="10">
        <v>45493</v>
      </c>
      <c r="H1410" t="s">
        <v>43</v>
      </c>
      <c r="I1410" t="s">
        <v>82</v>
      </c>
      <c r="J1410" t="s">
        <v>51</v>
      </c>
      <c r="K1410" t="s">
        <v>132</v>
      </c>
      <c r="L1410" t="s">
        <v>57</v>
      </c>
      <c r="M1410" t="s">
        <v>315</v>
      </c>
      <c r="N1410">
        <v>5</v>
      </c>
      <c r="O1410" t="s">
        <v>117</v>
      </c>
      <c r="P1410" s="11">
        <v>7500</v>
      </c>
      <c r="Q1410" t="s">
        <v>63</v>
      </c>
      <c r="R1410" s="11">
        <f t="shared" ref="R1410:R1473" si="44">IF(I1410="Delivered",P1410,0)</f>
        <v>7500</v>
      </c>
      <c r="S1410" t="str">
        <f t="shared" ref="S1410:S1473" si="45">IF(COUNTIF($C$2:$C$1501,C1410)&gt;1,"Repeat","One-Time")</f>
        <v>One-Time</v>
      </c>
    </row>
    <row r="1411" spans="1:19" ht="15" customHeight="1" x14ac:dyDescent="0.3">
      <c r="A1411">
        <v>1410</v>
      </c>
      <c r="B1411" t="s">
        <v>1903</v>
      </c>
      <c r="C1411">
        <v>6516243</v>
      </c>
      <c r="D1411" t="s">
        <v>114</v>
      </c>
      <c r="E1411">
        <v>35</v>
      </c>
      <c r="F1411" t="s">
        <v>76</v>
      </c>
      <c r="G1411" s="10">
        <v>45494</v>
      </c>
      <c r="H1411" t="s">
        <v>43</v>
      </c>
      <c r="I1411" t="s">
        <v>82</v>
      </c>
      <c r="J1411" t="s">
        <v>51</v>
      </c>
      <c r="K1411" t="s">
        <v>132</v>
      </c>
      <c r="L1411" t="s">
        <v>57</v>
      </c>
      <c r="M1411" t="s">
        <v>315</v>
      </c>
      <c r="N1411">
        <v>6</v>
      </c>
      <c r="O1411" t="s">
        <v>117</v>
      </c>
      <c r="P1411" s="11">
        <v>7500</v>
      </c>
      <c r="Q1411" t="s">
        <v>1904</v>
      </c>
      <c r="R1411" s="11">
        <f t="shared" si="44"/>
        <v>7500</v>
      </c>
      <c r="S1411" t="str">
        <f t="shared" si="45"/>
        <v>One-Time</v>
      </c>
    </row>
    <row r="1412" spans="1:19" ht="15" customHeight="1" x14ac:dyDescent="0.3">
      <c r="A1412">
        <v>1411</v>
      </c>
      <c r="B1412" t="s">
        <v>1905</v>
      </c>
      <c r="C1412">
        <v>7222033</v>
      </c>
      <c r="D1412" t="s">
        <v>114</v>
      </c>
      <c r="E1412">
        <v>25</v>
      </c>
      <c r="F1412" t="s">
        <v>75</v>
      </c>
      <c r="G1412" s="10">
        <v>45495</v>
      </c>
      <c r="H1412" t="s">
        <v>43</v>
      </c>
      <c r="I1412" t="s">
        <v>82</v>
      </c>
      <c r="J1412" t="s">
        <v>51</v>
      </c>
      <c r="K1412" t="s">
        <v>132</v>
      </c>
      <c r="L1412" t="s">
        <v>57</v>
      </c>
      <c r="M1412" t="s">
        <v>315</v>
      </c>
      <c r="N1412">
        <v>31</v>
      </c>
      <c r="O1412" t="s">
        <v>117</v>
      </c>
      <c r="P1412" s="11">
        <v>7500</v>
      </c>
      <c r="Q1412" t="s">
        <v>1405</v>
      </c>
      <c r="R1412" s="11">
        <f t="shared" si="44"/>
        <v>7500</v>
      </c>
      <c r="S1412" t="str">
        <f t="shared" si="45"/>
        <v>One-Time</v>
      </c>
    </row>
    <row r="1413" spans="1:19" ht="15" customHeight="1" x14ac:dyDescent="0.3">
      <c r="A1413">
        <v>1412</v>
      </c>
      <c r="B1413" t="s">
        <v>1906</v>
      </c>
      <c r="C1413">
        <v>4347680</v>
      </c>
      <c r="D1413" t="s">
        <v>114</v>
      </c>
      <c r="E1413">
        <v>62</v>
      </c>
      <c r="F1413" t="s">
        <v>77</v>
      </c>
      <c r="G1413" s="10">
        <v>45496</v>
      </c>
      <c r="H1413" t="s">
        <v>43</v>
      </c>
      <c r="I1413" t="s">
        <v>82</v>
      </c>
      <c r="J1413" t="s">
        <v>51</v>
      </c>
      <c r="K1413" t="s">
        <v>132</v>
      </c>
      <c r="L1413" t="s">
        <v>57</v>
      </c>
      <c r="M1413" t="s">
        <v>315</v>
      </c>
      <c r="N1413">
        <v>2</v>
      </c>
      <c r="O1413" t="s">
        <v>117</v>
      </c>
      <c r="P1413" s="11">
        <v>7500</v>
      </c>
      <c r="Q1413" t="s">
        <v>512</v>
      </c>
      <c r="R1413" s="11">
        <f t="shared" si="44"/>
        <v>7500</v>
      </c>
      <c r="S1413" t="str">
        <f t="shared" si="45"/>
        <v>One-Time</v>
      </c>
    </row>
    <row r="1414" spans="1:19" ht="15" customHeight="1" x14ac:dyDescent="0.3">
      <c r="A1414">
        <v>1413</v>
      </c>
      <c r="B1414" t="s">
        <v>1907</v>
      </c>
      <c r="C1414">
        <v>6525563</v>
      </c>
      <c r="D1414" t="s">
        <v>114</v>
      </c>
      <c r="E1414">
        <v>40</v>
      </c>
      <c r="F1414" t="s">
        <v>76</v>
      </c>
      <c r="G1414" s="10">
        <v>45497</v>
      </c>
      <c r="H1414" t="s">
        <v>43</v>
      </c>
      <c r="I1414" t="s">
        <v>82</v>
      </c>
      <c r="J1414" t="s">
        <v>51</v>
      </c>
      <c r="K1414" t="s">
        <v>132</v>
      </c>
      <c r="L1414" t="s">
        <v>57</v>
      </c>
      <c r="M1414" t="s">
        <v>315</v>
      </c>
      <c r="N1414">
        <v>5</v>
      </c>
      <c r="O1414" t="s">
        <v>117</v>
      </c>
      <c r="P1414" s="11">
        <v>7500</v>
      </c>
      <c r="Q1414" t="s">
        <v>414</v>
      </c>
      <c r="R1414" s="11">
        <f t="shared" si="44"/>
        <v>7500</v>
      </c>
      <c r="S1414" t="str">
        <f t="shared" si="45"/>
        <v>One-Time</v>
      </c>
    </row>
    <row r="1415" spans="1:19" ht="15" customHeight="1" x14ac:dyDescent="0.3">
      <c r="A1415">
        <v>1414</v>
      </c>
      <c r="B1415" t="s">
        <v>1908</v>
      </c>
      <c r="C1415">
        <v>3186738</v>
      </c>
      <c r="D1415" t="s">
        <v>114</v>
      </c>
      <c r="E1415">
        <v>60</v>
      </c>
      <c r="F1415" t="s">
        <v>77</v>
      </c>
      <c r="G1415" s="10">
        <v>45498</v>
      </c>
      <c r="H1415" t="s">
        <v>43</v>
      </c>
      <c r="I1415" t="s">
        <v>82</v>
      </c>
      <c r="J1415" t="s">
        <v>51</v>
      </c>
      <c r="K1415" t="s">
        <v>125</v>
      </c>
      <c r="L1415" t="s">
        <v>57</v>
      </c>
      <c r="M1415" t="s">
        <v>315</v>
      </c>
      <c r="N1415">
        <v>5</v>
      </c>
      <c r="O1415" t="s">
        <v>117</v>
      </c>
      <c r="P1415" s="11">
        <v>7500</v>
      </c>
      <c r="Q1415" t="s">
        <v>524</v>
      </c>
      <c r="R1415" s="11">
        <f t="shared" si="44"/>
        <v>7500</v>
      </c>
      <c r="S1415" t="str">
        <f t="shared" si="45"/>
        <v>One-Time</v>
      </c>
    </row>
    <row r="1416" spans="1:19" ht="15" customHeight="1" x14ac:dyDescent="0.3">
      <c r="A1416">
        <v>1415</v>
      </c>
      <c r="B1416" t="s">
        <v>1909</v>
      </c>
      <c r="C1416">
        <v>1826402</v>
      </c>
      <c r="D1416" t="s">
        <v>114</v>
      </c>
      <c r="E1416">
        <v>35</v>
      </c>
      <c r="F1416" t="s">
        <v>76</v>
      </c>
      <c r="G1416" s="10">
        <v>45499</v>
      </c>
      <c r="H1416" t="s">
        <v>43</v>
      </c>
      <c r="I1416" t="s">
        <v>82</v>
      </c>
      <c r="J1416" t="s">
        <v>51</v>
      </c>
      <c r="K1416" t="s">
        <v>125</v>
      </c>
      <c r="L1416" t="s">
        <v>57</v>
      </c>
      <c r="M1416" t="s">
        <v>315</v>
      </c>
      <c r="N1416">
        <v>8</v>
      </c>
      <c r="O1416" t="s">
        <v>117</v>
      </c>
      <c r="P1416" s="11">
        <v>7500</v>
      </c>
      <c r="Q1416" t="s">
        <v>1910</v>
      </c>
      <c r="R1416" s="11">
        <f t="shared" si="44"/>
        <v>7500</v>
      </c>
      <c r="S1416" t="str">
        <f t="shared" si="45"/>
        <v>One-Time</v>
      </c>
    </row>
    <row r="1417" spans="1:19" ht="15" customHeight="1" x14ac:dyDescent="0.3">
      <c r="A1417">
        <v>1416</v>
      </c>
      <c r="B1417" t="s">
        <v>1911</v>
      </c>
      <c r="C1417">
        <v>6667637</v>
      </c>
      <c r="D1417" t="s">
        <v>114</v>
      </c>
      <c r="E1417">
        <v>31</v>
      </c>
      <c r="F1417" t="s">
        <v>76</v>
      </c>
      <c r="G1417" s="10">
        <v>45500</v>
      </c>
      <c r="H1417" t="s">
        <v>43</v>
      </c>
      <c r="I1417" t="s">
        <v>82</v>
      </c>
      <c r="J1417" t="s">
        <v>51</v>
      </c>
      <c r="K1417" t="s">
        <v>125</v>
      </c>
      <c r="L1417" t="s">
        <v>57</v>
      </c>
      <c r="M1417" t="s">
        <v>315</v>
      </c>
      <c r="N1417">
        <v>9</v>
      </c>
      <c r="O1417" t="s">
        <v>117</v>
      </c>
      <c r="P1417" s="11">
        <v>5800</v>
      </c>
      <c r="Q1417" t="s">
        <v>66</v>
      </c>
      <c r="R1417" s="11">
        <f t="shared" si="44"/>
        <v>5800</v>
      </c>
      <c r="S1417" t="str">
        <f t="shared" si="45"/>
        <v>One-Time</v>
      </c>
    </row>
    <row r="1418" spans="1:19" ht="15" customHeight="1" x14ac:dyDescent="0.3">
      <c r="A1418">
        <v>1417</v>
      </c>
      <c r="B1418" t="s">
        <v>1912</v>
      </c>
      <c r="C1418">
        <v>8156230</v>
      </c>
      <c r="D1418" t="s">
        <v>114</v>
      </c>
      <c r="E1418">
        <v>46</v>
      </c>
      <c r="F1418" t="s">
        <v>76</v>
      </c>
      <c r="G1418" s="10">
        <v>45501</v>
      </c>
      <c r="H1418" t="s">
        <v>43</v>
      </c>
      <c r="I1418" t="s">
        <v>82</v>
      </c>
      <c r="J1418" t="s">
        <v>51</v>
      </c>
      <c r="K1418" t="s">
        <v>125</v>
      </c>
      <c r="L1418" t="s">
        <v>57</v>
      </c>
      <c r="M1418" t="s">
        <v>315</v>
      </c>
      <c r="N1418">
        <v>4</v>
      </c>
      <c r="O1418" t="s">
        <v>117</v>
      </c>
      <c r="P1418" s="11">
        <v>5800</v>
      </c>
      <c r="Q1418" t="s">
        <v>191</v>
      </c>
      <c r="R1418" s="11">
        <f t="shared" si="44"/>
        <v>5800</v>
      </c>
      <c r="S1418" t="str">
        <f t="shared" si="45"/>
        <v>One-Time</v>
      </c>
    </row>
    <row r="1419" spans="1:19" ht="15" customHeight="1" x14ac:dyDescent="0.3">
      <c r="A1419">
        <v>1418</v>
      </c>
      <c r="B1419" t="s">
        <v>1913</v>
      </c>
      <c r="C1419">
        <v>1728497</v>
      </c>
      <c r="D1419" t="s">
        <v>114</v>
      </c>
      <c r="E1419">
        <v>30</v>
      </c>
      <c r="F1419" t="s">
        <v>76</v>
      </c>
      <c r="G1419" s="10">
        <v>45502</v>
      </c>
      <c r="H1419" t="s">
        <v>43</v>
      </c>
      <c r="I1419" t="s">
        <v>82</v>
      </c>
      <c r="J1419" t="s">
        <v>51</v>
      </c>
      <c r="K1419" t="s">
        <v>125</v>
      </c>
      <c r="L1419" t="s">
        <v>57</v>
      </c>
      <c r="M1419" t="s">
        <v>315</v>
      </c>
      <c r="N1419">
        <v>7</v>
      </c>
      <c r="O1419" t="s">
        <v>117</v>
      </c>
      <c r="P1419" s="11">
        <v>5800</v>
      </c>
      <c r="Q1419" t="s">
        <v>65</v>
      </c>
      <c r="R1419" s="11">
        <f t="shared" si="44"/>
        <v>5800</v>
      </c>
      <c r="S1419" t="str">
        <f t="shared" si="45"/>
        <v>One-Time</v>
      </c>
    </row>
    <row r="1420" spans="1:19" ht="15" customHeight="1" x14ac:dyDescent="0.3">
      <c r="A1420">
        <v>1419</v>
      </c>
      <c r="B1420" t="s">
        <v>1914</v>
      </c>
      <c r="C1420">
        <v>1435458</v>
      </c>
      <c r="D1420" t="s">
        <v>114</v>
      </c>
      <c r="E1420">
        <v>43</v>
      </c>
      <c r="F1420" t="s">
        <v>76</v>
      </c>
      <c r="G1420" s="10">
        <v>45503</v>
      </c>
      <c r="H1420" t="s">
        <v>43</v>
      </c>
      <c r="I1420" t="s">
        <v>82</v>
      </c>
      <c r="J1420" t="s">
        <v>51</v>
      </c>
      <c r="K1420" t="s">
        <v>125</v>
      </c>
      <c r="L1420" t="s">
        <v>57</v>
      </c>
      <c r="M1420" t="s">
        <v>315</v>
      </c>
      <c r="N1420">
        <v>8</v>
      </c>
      <c r="O1420" t="s">
        <v>117</v>
      </c>
      <c r="P1420" s="11">
        <v>5800</v>
      </c>
      <c r="Q1420" t="s">
        <v>64</v>
      </c>
      <c r="R1420" s="11">
        <f t="shared" si="44"/>
        <v>5800</v>
      </c>
      <c r="S1420" t="str">
        <f t="shared" si="45"/>
        <v>One-Time</v>
      </c>
    </row>
    <row r="1421" spans="1:19" ht="15" customHeight="1" x14ac:dyDescent="0.3">
      <c r="A1421">
        <v>1420</v>
      </c>
      <c r="B1421" t="s">
        <v>1915</v>
      </c>
      <c r="C1421">
        <v>6913365</v>
      </c>
      <c r="D1421" t="s">
        <v>114</v>
      </c>
      <c r="E1421">
        <v>70</v>
      </c>
      <c r="F1421" t="s">
        <v>77</v>
      </c>
      <c r="G1421" s="10">
        <v>45504</v>
      </c>
      <c r="H1421" t="s">
        <v>43</v>
      </c>
      <c r="I1421" t="s">
        <v>82</v>
      </c>
      <c r="J1421" t="s">
        <v>51</v>
      </c>
      <c r="K1421" t="s">
        <v>125</v>
      </c>
      <c r="L1421" t="s">
        <v>57</v>
      </c>
      <c r="M1421" t="s">
        <v>315</v>
      </c>
      <c r="N1421">
        <v>9</v>
      </c>
      <c r="O1421" t="s">
        <v>117</v>
      </c>
      <c r="P1421" s="11">
        <v>5800</v>
      </c>
      <c r="Q1421" t="s">
        <v>223</v>
      </c>
      <c r="R1421" s="11">
        <f t="shared" si="44"/>
        <v>5800</v>
      </c>
      <c r="S1421" t="str">
        <f t="shared" si="45"/>
        <v>One-Time</v>
      </c>
    </row>
    <row r="1422" spans="1:19" ht="15" customHeight="1" x14ac:dyDescent="0.3">
      <c r="A1422">
        <v>1421</v>
      </c>
      <c r="B1422" t="s">
        <v>1916</v>
      </c>
      <c r="C1422">
        <v>2993620</v>
      </c>
      <c r="D1422" t="s">
        <v>114</v>
      </c>
      <c r="E1422">
        <v>29</v>
      </c>
      <c r="F1422" t="s">
        <v>75</v>
      </c>
      <c r="G1422" s="10">
        <v>45505</v>
      </c>
      <c r="H1422" t="s">
        <v>44</v>
      </c>
      <c r="I1422" t="s">
        <v>82</v>
      </c>
      <c r="J1422" t="s">
        <v>51</v>
      </c>
      <c r="K1422" t="s">
        <v>125</v>
      </c>
      <c r="L1422" t="s">
        <v>59</v>
      </c>
      <c r="M1422" t="s">
        <v>315</v>
      </c>
      <c r="N1422">
        <v>7</v>
      </c>
      <c r="O1422" t="s">
        <v>117</v>
      </c>
      <c r="P1422" s="11">
        <v>5800</v>
      </c>
      <c r="Q1422" t="s">
        <v>64</v>
      </c>
      <c r="R1422" s="11">
        <f t="shared" si="44"/>
        <v>5800</v>
      </c>
      <c r="S1422" t="str">
        <f t="shared" si="45"/>
        <v>One-Time</v>
      </c>
    </row>
    <row r="1423" spans="1:19" ht="15" customHeight="1" x14ac:dyDescent="0.3">
      <c r="A1423">
        <v>1422</v>
      </c>
      <c r="B1423" t="s">
        <v>1917</v>
      </c>
      <c r="C1423">
        <v>2359400</v>
      </c>
      <c r="D1423" t="s">
        <v>114</v>
      </c>
      <c r="E1423">
        <v>39</v>
      </c>
      <c r="F1423" t="s">
        <v>76</v>
      </c>
      <c r="G1423" s="10">
        <v>45506</v>
      </c>
      <c r="H1423" t="s">
        <v>44</v>
      </c>
      <c r="I1423" t="s">
        <v>82</v>
      </c>
      <c r="J1423" t="s">
        <v>51</v>
      </c>
      <c r="K1423" t="s">
        <v>125</v>
      </c>
      <c r="L1423" t="s">
        <v>59</v>
      </c>
      <c r="M1423" t="s">
        <v>315</v>
      </c>
      <c r="N1423">
        <v>6</v>
      </c>
      <c r="O1423" t="s">
        <v>117</v>
      </c>
      <c r="P1423" s="11">
        <v>5500</v>
      </c>
      <c r="Q1423" t="s">
        <v>70</v>
      </c>
      <c r="R1423" s="11">
        <f t="shared" si="44"/>
        <v>5500</v>
      </c>
      <c r="S1423" t="str">
        <f t="shared" si="45"/>
        <v>One-Time</v>
      </c>
    </row>
    <row r="1424" spans="1:19" ht="15" customHeight="1" x14ac:dyDescent="0.3">
      <c r="A1424">
        <v>1423</v>
      </c>
      <c r="B1424" t="s">
        <v>1918</v>
      </c>
      <c r="C1424">
        <v>1518551</v>
      </c>
      <c r="D1424" t="s">
        <v>114</v>
      </c>
      <c r="E1424">
        <v>42</v>
      </c>
      <c r="F1424" t="s">
        <v>76</v>
      </c>
      <c r="G1424" s="10">
        <v>45507</v>
      </c>
      <c r="H1424" t="s">
        <v>44</v>
      </c>
      <c r="I1424" t="s">
        <v>82</v>
      </c>
      <c r="J1424" t="s">
        <v>51</v>
      </c>
      <c r="K1424" t="s">
        <v>125</v>
      </c>
      <c r="L1424" t="s">
        <v>59</v>
      </c>
      <c r="M1424" t="s">
        <v>122</v>
      </c>
      <c r="N1424">
        <v>2</v>
      </c>
      <c r="O1424" t="s">
        <v>117</v>
      </c>
      <c r="P1424" s="11">
        <v>5500</v>
      </c>
      <c r="Q1424" t="s">
        <v>68</v>
      </c>
      <c r="R1424" s="11">
        <f t="shared" si="44"/>
        <v>5500</v>
      </c>
      <c r="S1424" t="str">
        <f t="shared" si="45"/>
        <v>One-Time</v>
      </c>
    </row>
    <row r="1425" spans="1:19" ht="15" customHeight="1" x14ac:dyDescent="0.3">
      <c r="A1425">
        <v>1424</v>
      </c>
      <c r="B1425" t="s">
        <v>1919</v>
      </c>
      <c r="C1425">
        <v>6485769</v>
      </c>
      <c r="D1425" t="s">
        <v>114</v>
      </c>
      <c r="E1425">
        <v>44</v>
      </c>
      <c r="F1425" t="s">
        <v>76</v>
      </c>
      <c r="G1425" s="10">
        <v>45508</v>
      </c>
      <c r="H1425" t="s">
        <v>44</v>
      </c>
      <c r="I1425" t="s">
        <v>82</v>
      </c>
      <c r="J1425" t="s">
        <v>51</v>
      </c>
      <c r="K1425" t="s">
        <v>125</v>
      </c>
      <c r="L1425" t="s">
        <v>59</v>
      </c>
      <c r="M1425" t="s">
        <v>122</v>
      </c>
      <c r="N1425">
        <v>8</v>
      </c>
      <c r="O1425" t="s">
        <v>117</v>
      </c>
      <c r="P1425" s="11">
        <v>5500</v>
      </c>
      <c r="Q1425" t="s">
        <v>65</v>
      </c>
      <c r="R1425" s="11">
        <f t="shared" si="44"/>
        <v>5500</v>
      </c>
      <c r="S1425" t="str">
        <f t="shared" si="45"/>
        <v>One-Time</v>
      </c>
    </row>
    <row r="1426" spans="1:19" ht="15" customHeight="1" x14ac:dyDescent="0.3">
      <c r="A1426">
        <v>1425</v>
      </c>
      <c r="B1426" t="s">
        <v>1920</v>
      </c>
      <c r="C1426">
        <v>2640683</v>
      </c>
      <c r="D1426" t="s">
        <v>114</v>
      </c>
      <c r="E1426">
        <v>47</v>
      </c>
      <c r="F1426" t="s">
        <v>76</v>
      </c>
      <c r="G1426" s="10">
        <v>45509</v>
      </c>
      <c r="H1426" t="s">
        <v>44</v>
      </c>
      <c r="I1426" t="s">
        <v>82</v>
      </c>
      <c r="J1426" t="s">
        <v>51</v>
      </c>
      <c r="K1426" t="s">
        <v>125</v>
      </c>
      <c r="L1426" t="s">
        <v>59</v>
      </c>
      <c r="M1426" t="s">
        <v>122</v>
      </c>
      <c r="N1426">
        <v>4</v>
      </c>
      <c r="O1426" t="s">
        <v>117</v>
      </c>
      <c r="P1426" s="11">
        <v>5500</v>
      </c>
      <c r="Q1426" t="s">
        <v>66</v>
      </c>
      <c r="R1426" s="11">
        <f t="shared" si="44"/>
        <v>5500</v>
      </c>
      <c r="S1426" t="str">
        <f t="shared" si="45"/>
        <v>One-Time</v>
      </c>
    </row>
    <row r="1427" spans="1:19" ht="15" customHeight="1" x14ac:dyDescent="0.3">
      <c r="A1427">
        <v>1426</v>
      </c>
      <c r="B1427" t="s">
        <v>1921</v>
      </c>
      <c r="C1427">
        <v>5332578</v>
      </c>
      <c r="D1427" t="s">
        <v>114</v>
      </c>
      <c r="E1427">
        <v>51</v>
      </c>
      <c r="F1427" t="s">
        <v>77</v>
      </c>
      <c r="G1427" s="10">
        <v>45510</v>
      </c>
      <c r="H1427" t="s">
        <v>44</v>
      </c>
      <c r="I1427" t="s">
        <v>82</v>
      </c>
      <c r="J1427" t="s">
        <v>51</v>
      </c>
      <c r="K1427" t="s">
        <v>125</v>
      </c>
      <c r="L1427" t="s">
        <v>59</v>
      </c>
      <c r="M1427" t="s">
        <v>122</v>
      </c>
      <c r="N1427">
        <v>6</v>
      </c>
      <c r="O1427" t="s">
        <v>117</v>
      </c>
      <c r="P1427" s="11">
        <v>5500</v>
      </c>
      <c r="Q1427" t="s">
        <v>298</v>
      </c>
      <c r="R1427" s="11">
        <f t="shared" si="44"/>
        <v>5500</v>
      </c>
      <c r="S1427" t="str">
        <f t="shared" si="45"/>
        <v>One-Time</v>
      </c>
    </row>
    <row r="1428" spans="1:19" ht="15" customHeight="1" x14ac:dyDescent="0.3">
      <c r="A1428">
        <v>1427</v>
      </c>
      <c r="B1428" t="s">
        <v>1922</v>
      </c>
      <c r="C1428">
        <v>7565589</v>
      </c>
      <c r="D1428" t="s">
        <v>114</v>
      </c>
      <c r="E1428">
        <v>49</v>
      </c>
      <c r="F1428" t="s">
        <v>76</v>
      </c>
      <c r="G1428" s="10">
        <v>45511</v>
      </c>
      <c r="H1428" t="s">
        <v>44</v>
      </c>
      <c r="I1428" t="s">
        <v>82</v>
      </c>
      <c r="J1428" t="s">
        <v>51</v>
      </c>
      <c r="K1428" t="s">
        <v>125</v>
      </c>
      <c r="L1428" t="s">
        <v>59</v>
      </c>
      <c r="M1428" t="s">
        <v>122</v>
      </c>
      <c r="N1428">
        <v>5</v>
      </c>
      <c r="O1428" t="s">
        <v>117</v>
      </c>
      <c r="P1428" s="11">
        <v>6000</v>
      </c>
      <c r="Q1428" t="s">
        <v>63</v>
      </c>
      <c r="R1428" s="11">
        <f t="shared" si="44"/>
        <v>6000</v>
      </c>
      <c r="S1428" t="str">
        <f t="shared" si="45"/>
        <v>One-Time</v>
      </c>
    </row>
    <row r="1429" spans="1:19" ht="15" customHeight="1" x14ac:dyDescent="0.3">
      <c r="A1429">
        <v>1428</v>
      </c>
      <c r="B1429" t="s">
        <v>1923</v>
      </c>
      <c r="C1429">
        <v>4011410</v>
      </c>
      <c r="D1429" t="s">
        <v>114</v>
      </c>
      <c r="E1429">
        <v>65</v>
      </c>
      <c r="F1429" t="s">
        <v>77</v>
      </c>
      <c r="G1429" s="10">
        <v>45512</v>
      </c>
      <c r="H1429" t="s">
        <v>44</v>
      </c>
      <c r="I1429" t="s">
        <v>83</v>
      </c>
      <c r="J1429" t="s">
        <v>51</v>
      </c>
      <c r="K1429" t="s">
        <v>125</v>
      </c>
      <c r="L1429" t="s">
        <v>59</v>
      </c>
      <c r="M1429" t="s">
        <v>122</v>
      </c>
      <c r="N1429">
        <v>23</v>
      </c>
      <c r="O1429" t="s">
        <v>117</v>
      </c>
      <c r="P1429" s="11">
        <v>6000</v>
      </c>
      <c r="Q1429" t="s">
        <v>325</v>
      </c>
      <c r="R1429" s="11">
        <f t="shared" si="44"/>
        <v>0</v>
      </c>
      <c r="S1429" t="str">
        <f t="shared" si="45"/>
        <v>One-Time</v>
      </c>
    </row>
    <row r="1430" spans="1:19" ht="15" customHeight="1" x14ac:dyDescent="0.3">
      <c r="A1430">
        <v>1429</v>
      </c>
      <c r="B1430" t="s">
        <v>1924</v>
      </c>
      <c r="C1430">
        <v>7383664</v>
      </c>
      <c r="D1430" t="s">
        <v>114</v>
      </c>
      <c r="E1430">
        <v>48</v>
      </c>
      <c r="F1430" t="s">
        <v>76</v>
      </c>
      <c r="G1430" s="10">
        <v>45513</v>
      </c>
      <c r="H1430" t="s">
        <v>44</v>
      </c>
      <c r="I1430" t="s">
        <v>82</v>
      </c>
      <c r="J1430" t="s">
        <v>51</v>
      </c>
      <c r="K1430" t="s">
        <v>125</v>
      </c>
      <c r="L1430" t="s">
        <v>59</v>
      </c>
      <c r="M1430" t="s">
        <v>122</v>
      </c>
      <c r="N1430">
        <v>2</v>
      </c>
      <c r="O1430" t="s">
        <v>117</v>
      </c>
      <c r="P1430" s="11">
        <v>6000</v>
      </c>
      <c r="Q1430" t="s">
        <v>886</v>
      </c>
      <c r="R1430" s="11">
        <f t="shared" si="44"/>
        <v>6000</v>
      </c>
      <c r="S1430" t="str">
        <f t="shared" si="45"/>
        <v>One-Time</v>
      </c>
    </row>
    <row r="1431" spans="1:19" ht="15" customHeight="1" x14ac:dyDescent="0.3">
      <c r="A1431">
        <v>1430</v>
      </c>
      <c r="B1431" t="s">
        <v>1925</v>
      </c>
      <c r="C1431">
        <v>8020405</v>
      </c>
      <c r="D1431" t="s">
        <v>114</v>
      </c>
      <c r="E1431">
        <v>42</v>
      </c>
      <c r="F1431" t="s">
        <v>76</v>
      </c>
      <c r="G1431" s="10">
        <v>45514</v>
      </c>
      <c r="H1431" t="s">
        <v>44</v>
      </c>
      <c r="I1431" t="s">
        <v>82</v>
      </c>
      <c r="J1431" t="s">
        <v>51</v>
      </c>
      <c r="K1431" t="s">
        <v>125</v>
      </c>
      <c r="L1431" t="s">
        <v>59</v>
      </c>
      <c r="M1431" t="s">
        <v>122</v>
      </c>
      <c r="N1431">
        <v>5</v>
      </c>
      <c r="O1431" t="s">
        <v>117</v>
      </c>
      <c r="P1431" s="11">
        <v>6000</v>
      </c>
      <c r="Q1431" t="s">
        <v>1926</v>
      </c>
      <c r="R1431" s="11">
        <f t="shared" si="44"/>
        <v>6000</v>
      </c>
      <c r="S1431" t="str">
        <f t="shared" si="45"/>
        <v>One-Time</v>
      </c>
    </row>
    <row r="1432" spans="1:19" ht="15" customHeight="1" x14ac:dyDescent="0.3">
      <c r="A1432">
        <v>1431</v>
      </c>
      <c r="B1432" t="s">
        <v>1927</v>
      </c>
      <c r="C1432">
        <v>8026142</v>
      </c>
      <c r="D1432" t="s">
        <v>392</v>
      </c>
      <c r="E1432">
        <v>45</v>
      </c>
      <c r="F1432" t="s">
        <v>76</v>
      </c>
      <c r="G1432" s="10">
        <v>45515</v>
      </c>
      <c r="H1432" t="s">
        <v>44</v>
      </c>
      <c r="I1432" t="s">
        <v>82</v>
      </c>
      <c r="J1432" t="s">
        <v>51</v>
      </c>
      <c r="K1432" t="s">
        <v>125</v>
      </c>
      <c r="L1432" t="s">
        <v>59</v>
      </c>
      <c r="M1432" t="s">
        <v>122</v>
      </c>
      <c r="N1432">
        <v>9</v>
      </c>
      <c r="O1432" t="s">
        <v>117</v>
      </c>
      <c r="P1432" s="11">
        <v>6000</v>
      </c>
      <c r="Q1432" t="s">
        <v>313</v>
      </c>
      <c r="R1432" s="11">
        <f t="shared" si="44"/>
        <v>6000</v>
      </c>
      <c r="S1432" t="str">
        <f t="shared" si="45"/>
        <v>One-Time</v>
      </c>
    </row>
    <row r="1433" spans="1:19" ht="15" customHeight="1" x14ac:dyDescent="0.3">
      <c r="A1433">
        <v>1432</v>
      </c>
      <c r="B1433" t="s">
        <v>1928</v>
      </c>
      <c r="C1433">
        <v>4670066</v>
      </c>
      <c r="D1433" t="s">
        <v>114</v>
      </c>
      <c r="E1433">
        <v>43</v>
      </c>
      <c r="F1433" t="s">
        <v>76</v>
      </c>
      <c r="G1433" s="10">
        <v>45516</v>
      </c>
      <c r="H1433" t="s">
        <v>44</v>
      </c>
      <c r="I1433" t="s">
        <v>82</v>
      </c>
      <c r="J1433" t="s">
        <v>51</v>
      </c>
      <c r="K1433" t="s">
        <v>125</v>
      </c>
      <c r="L1433" t="s">
        <v>59</v>
      </c>
      <c r="M1433" t="s">
        <v>122</v>
      </c>
      <c r="N1433">
        <v>27</v>
      </c>
      <c r="O1433" t="s">
        <v>117</v>
      </c>
      <c r="P1433" s="11">
        <v>6000</v>
      </c>
      <c r="Q1433" t="s">
        <v>66</v>
      </c>
      <c r="R1433" s="11">
        <f t="shared" si="44"/>
        <v>6000</v>
      </c>
      <c r="S1433" t="str">
        <f t="shared" si="45"/>
        <v>One-Time</v>
      </c>
    </row>
    <row r="1434" spans="1:19" ht="15" customHeight="1" x14ac:dyDescent="0.3">
      <c r="A1434">
        <v>1433</v>
      </c>
      <c r="B1434" t="s">
        <v>1929</v>
      </c>
      <c r="C1434">
        <v>8441117</v>
      </c>
      <c r="D1434" t="s">
        <v>114</v>
      </c>
      <c r="E1434">
        <v>18</v>
      </c>
      <c r="F1434" t="s">
        <v>75</v>
      </c>
      <c r="G1434" s="10">
        <v>45517</v>
      </c>
      <c r="H1434" t="s">
        <v>44</v>
      </c>
      <c r="I1434" t="s">
        <v>82</v>
      </c>
      <c r="J1434" t="s">
        <v>51</v>
      </c>
      <c r="K1434" t="s">
        <v>125</v>
      </c>
      <c r="L1434" t="s">
        <v>59</v>
      </c>
      <c r="M1434" t="s">
        <v>122</v>
      </c>
      <c r="N1434">
        <v>6</v>
      </c>
      <c r="O1434" t="s">
        <v>117</v>
      </c>
      <c r="P1434" s="11">
        <v>6000</v>
      </c>
      <c r="Q1434" t="s">
        <v>62</v>
      </c>
      <c r="R1434" s="11">
        <f t="shared" si="44"/>
        <v>6000</v>
      </c>
      <c r="S1434" t="str">
        <f t="shared" si="45"/>
        <v>One-Time</v>
      </c>
    </row>
    <row r="1435" spans="1:19" ht="15" customHeight="1" x14ac:dyDescent="0.3">
      <c r="A1435">
        <v>1434</v>
      </c>
      <c r="B1435" t="s">
        <v>1930</v>
      </c>
      <c r="C1435">
        <v>5347420</v>
      </c>
      <c r="D1435" t="s">
        <v>392</v>
      </c>
      <c r="E1435">
        <v>45</v>
      </c>
      <c r="F1435" t="s">
        <v>76</v>
      </c>
      <c r="G1435" s="10">
        <v>45518</v>
      </c>
      <c r="H1435" t="s">
        <v>44</v>
      </c>
      <c r="I1435" t="s">
        <v>82</v>
      </c>
      <c r="J1435" t="s">
        <v>51</v>
      </c>
      <c r="K1435" t="s">
        <v>125</v>
      </c>
      <c r="L1435" t="s">
        <v>59</v>
      </c>
      <c r="M1435" t="s">
        <v>122</v>
      </c>
      <c r="N1435">
        <v>6</v>
      </c>
      <c r="O1435" t="s">
        <v>117</v>
      </c>
      <c r="P1435" s="11">
        <v>6000</v>
      </c>
      <c r="Q1435" t="s">
        <v>886</v>
      </c>
      <c r="R1435" s="11">
        <f t="shared" si="44"/>
        <v>6000</v>
      </c>
      <c r="S1435" t="str">
        <f t="shared" si="45"/>
        <v>One-Time</v>
      </c>
    </row>
    <row r="1436" spans="1:19" ht="15" customHeight="1" x14ac:dyDescent="0.3">
      <c r="A1436">
        <v>1435</v>
      </c>
      <c r="B1436" t="s">
        <v>1931</v>
      </c>
      <c r="C1436">
        <v>2135883</v>
      </c>
      <c r="D1436" t="s">
        <v>392</v>
      </c>
      <c r="E1436">
        <v>24</v>
      </c>
      <c r="F1436" t="s">
        <v>75</v>
      </c>
      <c r="G1436" s="10">
        <v>45507</v>
      </c>
      <c r="H1436" t="s">
        <v>44</v>
      </c>
      <c r="I1436" t="s">
        <v>82</v>
      </c>
      <c r="J1436" t="s">
        <v>51</v>
      </c>
      <c r="K1436" t="s">
        <v>125</v>
      </c>
      <c r="L1436" t="s">
        <v>59</v>
      </c>
      <c r="M1436" t="s">
        <v>122</v>
      </c>
      <c r="N1436">
        <v>2</v>
      </c>
      <c r="O1436" t="s">
        <v>117</v>
      </c>
      <c r="P1436" s="11">
        <v>6000</v>
      </c>
      <c r="Q1436" t="s">
        <v>1932</v>
      </c>
      <c r="R1436" s="11">
        <f t="shared" si="44"/>
        <v>6000</v>
      </c>
      <c r="S1436" t="str">
        <f t="shared" si="45"/>
        <v>One-Time</v>
      </c>
    </row>
    <row r="1437" spans="1:19" ht="15" customHeight="1" x14ac:dyDescent="0.3">
      <c r="A1437">
        <v>1436</v>
      </c>
      <c r="B1437" t="s">
        <v>1933</v>
      </c>
      <c r="C1437">
        <v>4711899</v>
      </c>
      <c r="D1437" t="s">
        <v>392</v>
      </c>
      <c r="E1437">
        <v>34</v>
      </c>
      <c r="F1437" t="s">
        <v>76</v>
      </c>
      <c r="G1437" s="10">
        <v>45295</v>
      </c>
      <c r="H1437" t="s">
        <v>37</v>
      </c>
      <c r="I1437" t="s">
        <v>82</v>
      </c>
      <c r="J1437" t="s">
        <v>51</v>
      </c>
      <c r="K1437" t="s">
        <v>125</v>
      </c>
      <c r="L1437" t="s">
        <v>59</v>
      </c>
      <c r="M1437" t="s">
        <v>122</v>
      </c>
      <c r="N1437">
        <v>32</v>
      </c>
      <c r="O1437" t="s">
        <v>117</v>
      </c>
      <c r="P1437" s="11">
        <v>6000</v>
      </c>
      <c r="Q1437" t="s">
        <v>429</v>
      </c>
      <c r="R1437" s="11">
        <f t="shared" si="44"/>
        <v>6000</v>
      </c>
      <c r="S1437" t="str">
        <f t="shared" si="45"/>
        <v>One-Time</v>
      </c>
    </row>
    <row r="1438" spans="1:19" ht="15" customHeight="1" x14ac:dyDescent="0.3">
      <c r="A1438">
        <v>1437</v>
      </c>
      <c r="B1438" t="s">
        <v>1934</v>
      </c>
      <c r="C1438">
        <v>1353336</v>
      </c>
      <c r="D1438" t="s">
        <v>392</v>
      </c>
      <c r="E1438">
        <v>70</v>
      </c>
      <c r="F1438" t="s">
        <v>77</v>
      </c>
      <c r="G1438" s="10">
        <v>45296</v>
      </c>
      <c r="H1438" t="s">
        <v>37</v>
      </c>
      <c r="I1438" t="s">
        <v>82</v>
      </c>
      <c r="J1438" t="s">
        <v>51</v>
      </c>
      <c r="K1438" t="s">
        <v>125</v>
      </c>
      <c r="L1438" t="s">
        <v>59</v>
      </c>
      <c r="M1438" t="s">
        <v>122</v>
      </c>
      <c r="N1438">
        <v>3</v>
      </c>
      <c r="O1438" t="s">
        <v>117</v>
      </c>
      <c r="P1438" s="11">
        <v>6000</v>
      </c>
      <c r="Q1438" t="s">
        <v>67</v>
      </c>
      <c r="R1438" s="11">
        <f t="shared" si="44"/>
        <v>6000</v>
      </c>
      <c r="S1438" t="str">
        <f t="shared" si="45"/>
        <v>One-Time</v>
      </c>
    </row>
    <row r="1439" spans="1:19" ht="15" customHeight="1" x14ac:dyDescent="0.3">
      <c r="A1439">
        <v>1438</v>
      </c>
      <c r="B1439" t="s">
        <v>1935</v>
      </c>
      <c r="C1439">
        <v>2333018</v>
      </c>
      <c r="D1439" t="s">
        <v>114</v>
      </c>
      <c r="E1439">
        <v>60</v>
      </c>
      <c r="F1439" t="s">
        <v>77</v>
      </c>
      <c r="G1439" s="10">
        <v>45297</v>
      </c>
      <c r="H1439" t="s">
        <v>37</v>
      </c>
      <c r="I1439" t="s">
        <v>82</v>
      </c>
      <c r="J1439" t="s">
        <v>51</v>
      </c>
      <c r="K1439" t="s">
        <v>125</v>
      </c>
      <c r="L1439" t="s">
        <v>59</v>
      </c>
      <c r="M1439" t="s">
        <v>122</v>
      </c>
      <c r="N1439">
        <v>48</v>
      </c>
      <c r="O1439" t="s">
        <v>117</v>
      </c>
      <c r="P1439" s="11">
        <v>6000</v>
      </c>
      <c r="Q1439" t="s">
        <v>1936</v>
      </c>
      <c r="R1439" s="11">
        <f t="shared" si="44"/>
        <v>6000</v>
      </c>
      <c r="S1439" t="str">
        <f t="shared" si="45"/>
        <v>One-Time</v>
      </c>
    </row>
    <row r="1440" spans="1:19" ht="15" customHeight="1" x14ac:dyDescent="0.3">
      <c r="A1440">
        <v>1439</v>
      </c>
      <c r="B1440" t="s">
        <v>1937</v>
      </c>
      <c r="C1440">
        <v>7346638</v>
      </c>
      <c r="D1440" t="s">
        <v>114</v>
      </c>
      <c r="E1440">
        <v>29</v>
      </c>
      <c r="F1440" t="s">
        <v>75</v>
      </c>
      <c r="G1440" s="10">
        <v>45298</v>
      </c>
      <c r="H1440" t="s">
        <v>37</v>
      </c>
      <c r="I1440" t="s">
        <v>82</v>
      </c>
      <c r="J1440" t="s">
        <v>51</v>
      </c>
      <c r="K1440" t="s">
        <v>125</v>
      </c>
      <c r="L1440" t="s">
        <v>59</v>
      </c>
      <c r="M1440" t="s">
        <v>122</v>
      </c>
      <c r="N1440">
        <v>5</v>
      </c>
      <c r="O1440" t="s">
        <v>117</v>
      </c>
      <c r="P1440" s="11">
        <v>6000</v>
      </c>
      <c r="Q1440" t="s">
        <v>62</v>
      </c>
      <c r="R1440" s="11">
        <f t="shared" si="44"/>
        <v>6000</v>
      </c>
      <c r="S1440" t="str">
        <f t="shared" si="45"/>
        <v>One-Time</v>
      </c>
    </row>
    <row r="1441" spans="1:19" ht="15" customHeight="1" x14ac:dyDescent="0.3">
      <c r="A1441">
        <v>1440</v>
      </c>
      <c r="B1441" t="s">
        <v>1938</v>
      </c>
      <c r="C1441">
        <v>8672033</v>
      </c>
      <c r="D1441" t="s">
        <v>392</v>
      </c>
      <c r="E1441">
        <v>30</v>
      </c>
      <c r="F1441" t="s">
        <v>76</v>
      </c>
      <c r="G1441" s="10">
        <v>45299</v>
      </c>
      <c r="H1441" t="s">
        <v>37</v>
      </c>
      <c r="I1441" t="s">
        <v>82</v>
      </c>
      <c r="J1441" t="s">
        <v>51</v>
      </c>
      <c r="K1441" t="s">
        <v>128</v>
      </c>
      <c r="L1441" t="s">
        <v>59</v>
      </c>
      <c r="M1441" t="s">
        <v>122</v>
      </c>
      <c r="N1441">
        <v>2</v>
      </c>
      <c r="O1441" t="s">
        <v>117</v>
      </c>
      <c r="P1441" s="11">
        <v>6000</v>
      </c>
      <c r="Q1441" t="s">
        <v>1820</v>
      </c>
      <c r="R1441" s="11">
        <f t="shared" si="44"/>
        <v>6000</v>
      </c>
      <c r="S1441" t="str">
        <f t="shared" si="45"/>
        <v>One-Time</v>
      </c>
    </row>
    <row r="1442" spans="1:19" ht="15" customHeight="1" x14ac:dyDescent="0.3">
      <c r="A1442">
        <v>1441</v>
      </c>
      <c r="B1442" t="s">
        <v>1939</v>
      </c>
      <c r="C1442">
        <v>9222012</v>
      </c>
      <c r="D1442" t="s">
        <v>392</v>
      </c>
      <c r="E1442">
        <v>44</v>
      </c>
      <c r="F1442" t="s">
        <v>76</v>
      </c>
      <c r="G1442" s="10">
        <v>45300</v>
      </c>
      <c r="H1442" t="s">
        <v>37</v>
      </c>
      <c r="I1442" t="s">
        <v>82</v>
      </c>
      <c r="J1442" t="s">
        <v>51</v>
      </c>
      <c r="K1442" t="s">
        <v>128</v>
      </c>
      <c r="L1442" t="s">
        <v>59</v>
      </c>
      <c r="M1442" t="s">
        <v>122</v>
      </c>
      <c r="N1442">
        <v>9</v>
      </c>
      <c r="O1442" t="s">
        <v>117</v>
      </c>
      <c r="P1442" s="11">
        <v>6000</v>
      </c>
      <c r="Q1442" t="s">
        <v>62</v>
      </c>
      <c r="R1442" s="11">
        <f t="shared" si="44"/>
        <v>6000</v>
      </c>
      <c r="S1442" t="str">
        <f t="shared" si="45"/>
        <v>One-Time</v>
      </c>
    </row>
    <row r="1443" spans="1:19" ht="15" customHeight="1" x14ac:dyDescent="0.3">
      <c r="A1443">
        <v>1442</v>
      </c>
      <c r="B1443" t="s">
        <v>1940</v>
      </c>
      <c r="C1443">
        <v>2256348</v>
      </c>
      <c r="D1443" t="s">
        <v>392</v>
      </c>
      <c r="E1443">
        <v>32</v>
      </c>
      <c r="F1443" t="s">
        <v>76</v>
      </c>
      <c r="G1443" s="10">
        <v>45301</v>
      </c>
      <c r="H1443" t="s">
        <v>37</v>
      </c>
      <c r="I1443" t="s">
        <v>82</v>
      </c>
      <c r="J1443" t="s">
        <v>51</v>
      </c>
      <c r="K1443" t="s">
        <v>128</v>
      </c>
      <c r="L1443" t="s">
        <v>59</v>
      </c>
      <c r="M1443" t="s">
        <v>122</v>
      </c>
      <c r="N1443">
        <v>7</v>
      </c>
      <c r="O1443" t="s">
        <v>117</v>
      </c>
      <c r="P1443" s="11">
        <v>5900</v>
      </c>
      <c r="Q1443" t="s">
        <v>1620</v>
      </c>
      <c r="R1443" s="11">
        <f t="shared" si="44"/>
        <v>5900</v>
      </c>
      <c r="S1443" t="str">
        <f t="shared" si="45"/>
        <v>One-Time</v>
      </c>
    </row>
    <row r="1444" spans="1:19" ht="15" customHeight="1" x14ac:dyDescent="0.3">
      <c r="A1444">
        <v>1443</v>
      </c>
      <c r="B1444" t="s">
        <v>1941</v>
      </c>
      <c r="C1444">
        <v>7378656</v>
      </c>
      <c r="D1444" t="s">
        <v>392</v>
      </c>
      <c r="E1444">
        <v>40</v>
      </c>
      <c r="F1444" t="s">
        <v>76</v>
      </c>
      <c r="G1444" s="10">
        <v>45302</v>
      </c>
      <c r="H1444" t="s">
        <v>37</v>
      </c>
      <c r="I1444" t="s">
        <v>82</v>
      </c>
      <c r="J1444" t="s">
        <v>51</v>
      </c>
      <c r="K1444" t="s">
        <v>128</v>
      </c>
      <c r="L1444" t="s">
        <v>59</v>
      </c>
      <c r="M1444" t="s">
        <v>122</v>
      </c>
      <c r="N1444">
        <v>2</v>
      </c>
      <c r="O1444" t="s">
        <v>117</v>
      </c>
      <c r="P1444" s="11">
        <v>5900</v>
      </c>
      <c r="Q1444" t="s">
        <v>371</v>
      </c>
      <c r="R1444" s="11">
        <f t="shared" si="44"/>
        <v>5900</v>
      </c>
      <c r="S1444" t="str">
        <f t="shared" si="45"/>
        <v>One-Time</v>
      </c>
    </row>
    <row r="1445" spans="1:19" ht="15" customHeight="1" x14ac:dyDescent="0.3">
      <c r="A1445">
        <v>1444</v>
      </c>
      <c r="B1445" t="s">
        <v>1942</v>
      </c>
      <c r="C1445">
        <v>303558</v>
      </c>
      <c r="D1445" t="s">
        <v>392</v>
      </c>
      <c r="E1445">
        <v>42</v>
      </c>
      <c r="F1445" t="s">
        <v>76</v>
      </c>
      <c r="G1445" s="10">
        <v>45303</v>
      </c>
      <c r="H1445" t="s">
        <v>37</v>
      </c>
      <c r="I1445" t="s">
        <v>82</v>
      </c>
      <c r="J1445" t="s">
        <v>51</v>
      </c>
      <c r="K1445" t="s">
        <v>128</v>
      </c>
      <c r="L1445" t="s">
        <v>59</v>
      </c>
      <c r="M1445" t="s">
        <v>122</v>
      </c>
      <c r="N1445">
        <v>8</v>
      </c>
      <c r="O1445" t="s">
        <v>117</v>
      </c>
      <c r="P1445" s="11">
        <v>5900</v>
      </c>
      <c r="Q1445" t="s">
        <v>63</v>
      </c>
      <c r="R1445" s="11">
        <f t="shared" si="44"/>
        <v>5900</v>
      </c>
      <c r="S1445" t="str">
        <f t="shared" si="45"/>
        <v>One-Time</v>
      </c>
    </row>
    <row r="1446" spans="1:19" ht="15" customHeight="1" x14ac:dyDescent="0.3">
      <c r="A1446">
        <v>1445</v>
      </c>
      <c r="B1446" t="s">
        <v>1943</v>
      </c>
      <c r="C1446">
        <v>8358105</v>
      </c>
      <c r="D1446" t="s">
        <v>392</v>
      </c>
      <c r="E1446">
        <v>44</v>
      </c>
      <c r="F1446" t="s">
        <v>76</v>
      </c>
      <c r="G1446" s="10">
        <v>45304</v>
      </c>
      <c r="H1446" t="s">
        <v>37</v>
      </c>
      <c r="I1446" t="s">
        <v>83</v>
      </c>
      <c r="J1446" t="s">
        <v>51</v>
      </c>
      <c r="K1446" t="s">
        <v>128</v>
      </c>
      <c r="L1446" t="s">
        <v>59</v>
      </c>
      <c r="M1446" t="s">
        <v>122</v>
      </c>
      <c r="N1446">
        <v>4</v>
      </c>
      <c r="O1446" t="s">
        <v>117</v>
      </c>
      <c r="P1446" s="11">
        <v>5900</v>
      </c>
      <c r="Q1446" t="s">
        <v>71</v>
      </c>
      <c r="R1446" s="11">
        <f t="shared" si="44"/>
        <v>0</v>
      </c>
      <c r="S1446" t="str">
        <f t="shared" si="45"/>
        <v>One-Time</v>
      </c>
    </row>
    <row r="1447" spans="1:19" ht="15" customHeight="1" x14ac:dyDescent="0.3">
      <c r="A1447">
        <v>1446</v>
      </c>
      <c r="B1447" t="s">
        <v>1944</v>
      </c>
      <c r="C1447">
        <v>3023807</v>
      </c>
      <c r="D1447" t="s">
        <v>392</v>
      </c>
      <c r="E1447">
        <v>21</v>
      </c>
      <c r="F1447" t="s">
        <v>75</v>
      </c>
      <c r="G1447" s="10">
        <v>45305</v>
      </c>
      <c r="H1447" t="s">
        <v>37</v>
      </c>
      <c r="I1447" t="s">
        <v>82</v>
      </c>
      <c r="J1447" t="s">
        <v>51</v>
      </c>
      <c r="K1447" t="s">
        <v>128</v>
      </c>
      <c r="L1447" t="s">
        <v>59</v>
      </c>
      <c r="M1447" t="s">
        <v>122</v>
      </c>
      <c r="N1447">
        <v>5</v>
      </c>
      <c r="O1447" t="s">
        <v>117</v>
      </c>
      <c r="P1447" s="11">
        <v>5900</v>
      </c>
      <c r="Q1447" t="s">
        <v>709</v>
      </c>
      <c r="R1447" s="11">
        <f t="shared" si="44"/>
        <v>5900</v>
      </c>
      <c r="S1447" t="str">
        <f t="shared" si="45"/>
        <v>One-Time</v>
      </c>
    </row>
    <row r="1448" spans="1:19" ht="15" customHeight="1" x14ac:dyDescent="0.3">
      <c r="A1448">
        <v>1447</v>
      </c>
      <c r="B1448" t="s">
        <v>1945</v>
      </c>
      <c r="C1448">
        <v>8951738</v>
      </c>
      <c r="D1448" t="s">
        <v>392</v>
      </c>
      <c r="E1448">
        <v>28</v>
      </c>
      <c r="F1448" t="s">
        <v>75</v>
      </c>
      <c r="G1448" s="10">
        <v>45306</v>
      </c>
      <c r="H1448" t="s">
        <v>37</v>
      </c>
      <c r="I1448" t="s">
        <v>82</v>
      </c>
      <c r="J1448" t="s">
        <v>51</v>
      </c>
      <c r="K1448" t="s">
        <v>128</v>
      </c>
      <c r="L1448" t="s">
        <v>59</v>
      </c>
      <c r="M1448" t="s">
        <v>122</v>
      </c>
      <c r="N1448">
        <v>6</v>
      </c>
      <c r="O1448" t="s">
        <v>117</v>
      </c>
      <c r="P1448" s="11">
        <v>5900</v>
      </c>
      <c r="Q1448" t="s">
        <v>1087</v>
      </c>
      <c r="R1448" s="11">
        <f t="shared" si="44"/>
        <v>5900</v>
      </c>
      <c r="S1448" t="str">
        <f t="shared" si="45"/>
        <v>Repeat</v>
      </c>
    </row>
    <row r="1449" spans="1:19" ht="15" customHeight="1" x14ac:dyDescent="0.3">
      <c r="A1449">
        <v>1448</v>
      </c>
      <c r="B1449" t="s">
        <v>1945</v>
      </c>
      <c r="C1449">
        <v>8951738</v>
      </c>
      <c r="D1449" t="s">
        <v>392</v>
      </c>
      <c r="E1449">
        <v>65</v>
      </c>
      <c r="F1449" t="s">
        <v>77</v>
      </c>
      <c r="G1449" s="10">
        <v>45307</v>
      </c>
      <c r="H1449" t="s">
        <v>37</v>
      </c>
      <c r="I1449" t="s">
        <v>82</v>
      </c>
      <c r="J1449" t="s">
        <v>51</v>
      </c>
      <c r="K1449" t="s">
        <v>128</v>
      </c>
      <c r="L1449" t="s">
        <v>59</v>
      </c>
      <c r="M1449" t="s">
        <v>122</v>
      </c>
      <c r="N1449">
        <v>31</v>
      </c>
      <c r="O1449" t="s">
        <v>117</v>
      </c>
      <c r="P1449" s="11">
        <v>5900</v>
      </c>
      <c r="Q1449" t="s">
        <v>64</v>
      </c>
      <c r="R1449" s="11">
        <f t="shared" si="44"/>
        <v>5900</v>
      </c>
      <c r="S1449" t="str">
        <f t="shared" si="45"/>
        <v>Repeat</v>
      </c>
    </row>
    <row r="1450" spans="1:19" ht="15" customHeight="1" x14ac:dyDescent="0.3">
      <c r="A1450">
        <v>1449</v>
      </c>
      <c r="B1450" t="s">
        <v>1946</v>
      </c>
      <c r="C1450">
        <v>6421898</v>
      </c>
      <c r="D1450" t="s">
        <v>392</v>
      </c>
      <c r="E1450">
        <v>41</v>
      </c>
      <c r="F1450" t="s">
        <v>76</v>
      </c>
      <c r="G1450" s="10">
        <v>45308</v>
      </c>
      <c r="H1450" t="s">
        <v>37</v>
      </c>
      <c r="I1450" t="s">
        <v>82</v>
      </c>
      <c r="J1450" t="s">
        <v>51</v>
      </c>
      <c r="K1450" t="s">
        <v>128</v>
      </c>
      <c r="L1450" t="s">
        <v>58</v>
      </c>
      <c r="M1450" t="s">
        <v>122</v>
      </c>
      <c r="N1450">
        <v>2</v>
      </c>
      <c r="O1450" t="s">
        <v>117</v>
      </c>
      <c r="P1450" s="11">
        <v>5900</v>
      </c>
      <c r="Q1450" t="s">
        <v>63</v>
      </c>
      <c r="R1450" s="11">
        <f t="shared" si="44"/>
        <v>5900</v>
      </c>
      <c r="S1450" t="str">
        <f t="shared" si="45"/>
        <v>One-Time</v>
      </c>
    </row>
    <row r="1451" spans="1:19" ht="15" customHeight="1" x14ac:dyDescent="0.3">
      <c r="A1451">
        <v>1450</v>
      </c>
      <c r="B1451" t="s">
        <v>1947</v>
      </c>
      <c r="C1451">
        <v>366316</v>
      </c>
      <c r="D1451" t="s">
        <v>392</v>
      </c>
      <c r="E1451">
        <v>66</v>
      </c>
      <c r="F1451" t="s">
        <v>77</v>
      </c>
      <c r="G1451" s="10">
        <v>45309</v>
      </c>
      <c r="H1451" t="s">
        <v>37</v>
      </c>
      <c r="I1451" t="s">
        <v>82</v>
      </c>
      <c r="J1451" t="s">
        <v>51</v>
      </c>
      <c r="K1451" t="s">
        <v>128</v>
      </c>
      <c r="L1451" t="s">
        <v>58</v>
      </c>
      <c r="M1451" t="s">
        <v>122</v>
      </c>
      <c r="N1451">
        <v>5</v>
      </c>
      <c r="O1451" t="s">
        <v>117</v>
      </c>
      <c r="P1451" s="11">
        <v>5900</v>
      </c>
      <c r="Q1451" t="s">
        <v>307</v>
      </c>
      <c r="R1451" s="11">
        <f t="shared" si="44"/>
        <v>5900</v>
      </c>
      <c r="S1451" t="str">
        <f t="shared" si="45"/>
        <v>One-Time</v>
      </c>
    </row>
    <row r="1452" spans="1:19" ht="15" customHeight="1" x14ac:dyDescent="0.3">
      <c r="A1452">
        <v>1451</v>
      </c>
      <c r="B1452" t="s">
        <v>1948</v>
      </c>
      <c r="C1452">
        <v>881227</v>
      </c>
      <c r="D1452" t="s">
        <v>392</v>
      </c>
      <c r="E1452">
        <v>23</v>
      </c>
      <c r="F1452" t="s">
        <v>75</v>
      </c>
      <c r="G1452" s="10">
        <v>45310</v>
      </c>
      <c r="H1452" t="s">
        <v>37</v>
      </c>
      <c r="I1452" t="s">
        <v>82</v>
      </c>
      <c r="J1452" t="s">
        <v>51</v>
      </c>
      <c r="K1452" t="s">
        <v>128</v>
      </c>
      <c r="L1452" t="s">
        <v>58</v>
      </c>
      <c r="M1452" t="s">
        <v>122</v>
      </c>
      <c r="N1452">
        <v>5</v>
      </c>
      <c r="O1452" t="s">
        <v>117</v>
      </c>
      <c r="P1452" s="11">
        <v>5900</v>
      </c>
      <c r="Q1452" t="s">
        <v>65</v>
      </c>
      <c r="R1452" s="11">
        <f t="shared" si="44"/>
        <v>5900</v>
      </c>
      <c r="S1452" t="str">
        <f t="shared" si="45"/>
        <v>One-Time</v>
      </c>
    </row>
    <row r="1453" spans="1:19" ht="15" customHeight="1" x14ac:dyDescent="0.3">
      <c r="A1453">
        <v>1452</v>
      </c>
      <c r="B1453" t="s">
        <v>1949</v>
      </c>
      <c r="C1453">
        <v>3188067</v>
      </c>
      <c r="D1453" t="s">
        <v>392</v>
      </c>
      <c r="E1453">
        <v>29</v>
      </c>
      <c r="F1453" t="s">
        <v>75</v>
      </c>
      <c r="G1453" s="10">
        <v>45326</v>
      </c>
      <c r="H1453" t="s">
        <v>38</v>
      </c>
      <c r="I1453" t="s">
        <v>82</v>
      </c>
      <c r="J1453" t="s">
        <v>51</v>
      </c>
      <c r="K1453" t="s">
        <v>128</v>
      </c>
      <c r="L1453" t="s">
        <v>58</v>
      </c>
      <c r="M1453" t="s">
        <v>122</v>
      </c>
      <c r="N1453">
        <v>8</v>
      </c>
      <c r="O1453" t="s">
        <v>117</v>
      </c>
      <c r="P1453" s="11">
        <v>5900</v>
      </c>
      <c r="Q1453" t="s">
        <v>64</v>
      </c>
      <c r="R1453" s="11">
        <f t="shared" si="44"/>
        <v>5900</v>
      </c>
      <c r="S1453" t="str">
        <f t="shared" si="45"/>
        <v>One-Time</v>
      </c>
    </row>
    <row r="1454" spans="1:19" ht="15" customHeight="1" x14ac:dyDescent="0.3">
      <c r="A1454">
        <v>1453</v>
      </c>
      <c r="B1454" t="s">
        <v>1950</v>
      </c>
      <c r="C1454">
        <v>3062922</v>
      </c>
      <c r="D1454" t="s">
        <v>392</v>
      </c>
      <c r="E1454">
        <v>37</v>
      </c>
      <c r="F1454" t="s">
        <v>76</v>
      </c>
      <c r="G1454" s="10">
        <v>45326</v>
      </c>
      <c r="H1454" t="s">
        <v>38</v>
      </c>
      <c r="I1454" t="s">
        <v>82</v>
      </c>
      <c r="J1454" t="s">
        <v>51</v>
      </c>
      <c r="K1454" t="s">
        <v>128</v>
      </c>
      <c r="L1454" t="s">
        <v>58</v>
      </c>
      <c r="M1454" t="s">
        <v>122</v>
      </c>
      <c r="N1454">
        <v>9</v>
      </c>
      <c r="O1454" t="s">
        <v>117</v>
      </c>
      <c r="P1454" s="11">
        <v>5900</v>
      </c>
      <c r="Q1454" t="s">
        <v>313</v>
      </c>
      <c r="R1454" s="11">
        <f t="shared" si="44"/>
        <v>5900</v>
      </c>
      <c r="S1454" t="str">
        <f t="shared" si="45"/>
        <v>One-Time</v>
      </c>
    </row>
    <row r="1455" spans="1:19" ht="15" customHeight="1" x14ac:dyDescent="0.3">
      <c r="A1455">
        <v>1454</v>
      </c>
      <c r="B1455" t="s">
        <v>1951</v>
      </c>
      <c r="C1455">
        <v>9851273</v>
      </c>
      <c r="D1455" t="s">
        <v>392</v>
      </c>
      <c r="E1455">
        <v>46</v>
      </c>
      <c r="F1455" t="s">
        <v>76</v>
      </c>
      <c r="G1455" s="10">
        <v>45326</v>
      </c>
      <c r="H1455" t="s">
        <v>38</v>
      </c>
      <c r="I1455" t="s">
        <v>82</v>
      </c>
      <c r="J1455" t="s">
        <v>51</v>
      </c>
      <c r="K1455" t="s">
        <v>128</v>
      </c>
      <c r="L1455" t="s">
        <v>58</v>
      </c>
      <c r="M1455" t="s">
        <v>122</v>
      </c>
      <c r="N1455">
        <v>4</v>
      </c>
      <c r="O1455" t="s">
        <v>117</v>
      </c>
      <c r="P1455" s="11">
        <v>5900</v>
      </c>
      <c r="Q1455" t="s">
        <v>63</v>
      </c>
      <c r="R1455" s="11">
        <f t="shared" si="44"/>
        <v>5900</v>
      </c>
      <c r="S1455" t="str">
        <f t="shared" si="45"/>
        <v>One-Time</v>
      </c>
    </row>
    <row r="1456" spans="1:19" ht="15" customHeight="1" x14ac:dyDescent="0.3">
      <c r="A1456">
        <v>1455</v>
      </c>
      <c r="B1456" t="s">
        <v>1952</v>
      </c>
      <c r="C1456">
        <v>1252191</v>
      </c>
      <c r="D1456" t="s">
        <v>392</v>
      </c>
      <c r="E1456">
        <v>60</v>
      </c>
      <c r="F1456" t="s">
        <v>77</v>
      </c>
      <c r="G1456" s="10">
        <v>45326</v>
      </c>
      <c r="H1456" t="s">
        <v>38</v>
      </c>
      <c r="I1456" t="s">
        <v>82</v>
      </c>
      <c r="J1456" t="s">
        <v>51</v>
      </c>
      <c r="K1456" t="s">
        <v>128</v>
      </c>
      <c r="L1456" t="s">
        <v>58</v>
      </c>
      <c r="M1456" t="s">
        <v>122</v>
      </c>
      <c r="N1456">
        <v>7</v>
      </c>
      <c r="O1456" t="s">
        <v>117</v>
      </c>
      <c r="P1456" s="11">
        <v>5900</v>
      </c>
      <c r="Q1456" t="s">
        <v>1953</v>
      </c>
      <c r="R1456" s="11">
        <f t="shared" si="44"/>
        <v>5900</v>
      </c>
      <c r="S1456" t="str">
        <f t="shared" si="45"/>
        <v>One-Time</v>
      </c>
    </row>
    <row r="1457" spans="1:19" ht="15" customHeight="1" x14ac:dyDescent="0.3">
      <c r="A1457">
        <v>1456</v>
      </c>
      <c r="B1457" t="s">
        <v>1954</v>
      </c>
      <c r="C1457">
        <v>801054</v>
      </c>
      <c r="D1457" t="s">
        <v>392</v>
      </c>
      <c r="E1457">
        <v>38</v>
      </c>
      <c r="F1457" t="s">
        <v>76</v>
      </c>
      <c r="G1457" s="10">
        <v>45326</v>
      </c>
      <c r="H1457" t="s">
        <v>38</v>
      </c>
      <c r="I1457" t="s">
        <v>82</v>
      </c>
      <c r="J1457" t="s">
        <v>51</v>
      </c>
      <c r="K1457" t="s">
        <v>128</v>
      </c>
      <c r="L1457" t="s">
        <v>58</v>
      </c>
      <c r="M1457" t="s">
        <v>122</v>
      </c>
      <c r="N1457">
        <v>8</v>
      </c>
      <c r="O1457" t="s">
        <v>117</v>
      </c>
      <c r="P1457" s="11">
        <v>5900</v>
      </c>
      <c r="Q1457" t="s">
        <v>62</v>
      </c>
      <c r="R1457" s="11">
        <f t="shared" si="44"/>
        <v>5900</v>
      </c>
      <c r="S1457" t="str">
        <f t="shared" si="45"/>
        <v>One-Time</v>
      </c>
    </row>
    <row r="1458" spans="1:19" ht="15" customHeight="1" x14ac:dyDescent="0.3">
      <c r="A1458">
        <v>1457</v>
      </c>
      <c r="B1458" t="s">
        <v>1955</v>
      </c>
      <c r="C1458">
        <v>7262078</v>
      </c>
      <c r="D1458" t="s">
        <v>392</v>
      </c>
      <c r="E1458">
        <v>43</v>
      </c>
      <c r="F1458" t="s">
        <v>76</v>
      </c>
      <c r="G1458" s="10">
        <v>45326</v>
      </c>
      <c r="H1458" t="s">
        <v>38</v>
      </c>
      <c r="I1458" t="s">
        <v>82</v>
      </c>
      <c r="J1458" t="s">
        <v>51</v>
      </c>
      <c r="K1458" t="s">
        <v>128</v>
      </c>
      <c r="L1458" t="s">
        <v>58</v>
      </c>
      <c r="M1458" t="s">
        <v>122</v>
      </c>
      <c r="N1458">
        <v>32</v>
      </c>
      <c r="O1458" t="s">
        <v>117</v>
      </c>
      <c r="P1458" s="11">
        <v>5900</v>
      </c>
      <c r="Q1458" t="s">
        <v>223</v>
      </c>
      <c r="R1458" s="11">
        <f t="shared" si="44"/>
        <v>5900</v>
      </c>
      <c r="S1458" t="str">
        <f t="shared" si="45"/>
        <v>One-Time</v>
      </c>
    </row>
    <row r="1459" spans="1:19" ht="15" customHeight="1" x14ac:dyDescent="0.3">
      <c r="A1459">
        <v>1458</v>
      </c>
      <c r="B1459" t="s">
        <v>1956</v>
      </c>
      <c r="C1459">
        <v>6529033</v>
      </c>
      <c r="D1459" t="s">
        <v>392</v>
      </c>
      <c r="E1459">
        <v>26</v>
      </c>
      <c r="F1459" t="s">
        <v>75</v>
      </c>
      <c r="G1459" s="10">
        <v>45326</v>
      </c>
      <c r="H1459" t="s">
        <v>38</v>
      </c>
      <c r="I1459" t="s">
        <v>82</v>
      </c>
      <c r="J1459" t="s">
        <v>51</v>
      </c>
      <c r="K1459" t="s">
        <v>128</v>
      </c>
      <c r="L1459" t="s">
        <v>58</v>
      </c>
      <c r="M1459" t="s">
        <v>122</v>
      </c>
      <c r="N1459">
        <v>3</v>
      </c>
      <c r="O1459" t="s">
        <v>117</v>
      </c>
      <c r="P1459" s="11">
        <v>5900</v>
      </c>
      <c r="Q1459" t="s">
        <v>63</v>
      </c>
      <c r="R1459" s="11">
        <f t="shared" si="44"/>
        <v>5900</v>
      </c>
      <c r="S1459" t="str">
        <f t="shared" si="45"/>
        <v>One-Time</v>
      </c>
    </row>
    <row r="1460" spans="1:19" ht="15" customHeight="1" x14ac:dyDescent="0.3">
      <c r="A1460">
        <v>1459</v>
      </c>
      <c r="B1460" t="s">
        <v>1957</v>
      </c>
      <c r="C1460">
        <v>8454722</v>
      </c>
      <c r="D1460" t="s">
        <v>392</v>
      </c>
      <c r="E1460">
        <v>30</v>
      </c>
      <c r="F1460" t="s">
        <v>76</v>
      </c>
      <c r="G1460" s="10">
        <v>45326</v>
      </c>
      <c r="H1460" t="s">
        <v>38</v>
      </c>
      <c r="I1460" t="s">
        <v>82</v>
      </c>
      <c r="J1460" t="s">
        <v>51</v>
      </c>
      <c r="K1460" t="s">
        <v>128</v>
      </c>
      <c r="L1460" t="s">
        <v>58</v>
      </c>
      <c r="M1460" t="s">
        <v>122</v>
      </c>
      <c r="N1460">
        <v>48</v>
      </c>
      <c r="O1460" t="s">
        <v>117</v>
      </c>
      <c r="P1460" s="11">
        <v>5900</v>
      </c>
      <c r="Q1460" t="s">
        <v>1958</v>
      </c>
      <c r="R1460" s="11">
        <f t="shared" si="44"/>
        <v>5900</v>
      </c>
      <c r="S1460" t="str">
        <f t="shared" si="45"/>
        <v>One-Time</v>
      </c>
    </row>
    <row r="1461" spans="1:19" ht="15" customHeight="1" x14ac:dyDescent="0.3">
      <c r="A1461">
        <v>1460</v>
      </c>
      <c r="B1461" t="s">
        <v>1959</v>
      </c>
      <c r="C1461">
        <v>8944992</v>
      </c>
      <c r="D1461" t="s">
        <v>392</v>
      </c>
      <c r="E1461">
        <v>36</v>
      </c>
      <c r="F1461" t="s">
        <v>76</v>
      </c>
      <c r="G1461" s="10">
        <v>45326</v>
      </c>
      <c r="H1461" t="s">
        <v>38</v>
      </c>
      <c r="I1461" t="s">
        <v>82</v>
      </c>
      <c r="J1461" t="s">
        <v>51</v>
      </c>
      <c r="K1461" t="s">
        <v>128</v>
      </c>
      <c r="L1461" t="s">
        <v>58</v>
      </c>
      <c r="M1461" t="s">
        <v>122</v>
      </c>
      <c r="N1461">
        <v>5</v>
      </c>
      <c r="O1461" t="s">
        <v>117</v>
      </c>
      <c r="P1461" s="11">
        <v>5900</v>
      </c>
      <c r="Q1461" t="s">
        <v>454</v>
      </c>
      <c r="R1461" s="11">
        <f t="shared" si="44"/>
        <v>5900</v>
      </c>
      <c r="S1461" t="str">
        <f t="shared" si="45"/>
        <v>One-Time</v>
      </c>
    </row>
    <row r="1462" spans="1:19" ht="15" customHeight="1" x14ac:dyDescent="0.3">
      <c r="A1462">
        <v>1461</v>
      </c>
      <c r="B1462" t="s">
        <v>1960</v>
      </c>
      <c r="C1462">
        <v>7298767</v>
      </c>
      <c r="D1462" t="s">
        <v>392</v>
      </c>
      <c r="E1462">
        <v>33</v>
      </c>
      <c r="F1462" t="s">
        <v>76</v>
      </c>
      <c r="G1462" s="10">
        <v>45326</v>
      </c>
      <c r="H1462" t="s">
        <v>38</v>
      </c>
      <c r="I1462" t="s">
        <v>82</v>
      </c>
      <c r="J1462" t="s">
        <v>51</v>
      </c>
      <c r="K1462" t="s">
        <v>128</v>
      </c>
      <c r="L1462" t="s">
        <v>58</v>
      </c>
      <c r="M1462" t="s">
        <v>122</v>
      </c>
      <c r="N1462">
        <v>2</v>
      </c>
      <c r="O1462" t="s">
        <v>117</v>
      </c>
      <c r="P1462" s="11">
        <v>5900</v>
      </c>
      <c r="Q1462" t="s">
        <v>1961</v>
      </c>
      <c r="R1462" s="11">
        <f t="shared" si="44"/>
        <v>5900</v>
      </c>
      <c r="S1462" t="str">
        <f t="shared" si="45"/>
        <v>One-Time</v>
      </c>
    </row>
    <row r="1463" spans="1:19" ht="15" customHeight="1" x14ac:dyDescent="0.3">
      <c r="A1463">
        <v>1462</v>
      </c>
      <c r="B1463" t="s">
        <v>1962</v>
      </c>
      <c r="C1463">
        <v>1642344</v>
      </c>
      <c r="D1463" t="s">
        <v>392</v>
      </c>
      <c r="E1463">
        <v>31</v>
      </c>
      <c r="F1463" t="s">
        <v>76</v>
      </c>
      <c r="G1463" s="10">
        <v>45326</v>
      </c>
      <c r="H1463" t="s">
        <v>38</v>
      </c>
      <c r="I1463" t="s">
        <v>82</v>
      </c>
      <c r="J1463" t="s">
        <v>51</v>
      </c>
      <c r="K1463" t="s">
        <v>128</v>
      </c>
      <c r="L1463" t="s">
        <v>58</v>
      </c>
      <c r="M1463" t="s">
        <v>315</v>
      </c>
      <c r="N1463">
        <v>9</v>
      </c>
      <c r="O1463" t="s">
        <v>117</v>
      </c>
      <c r="P1463" s="11">
        <v>5900</v>
      </c>
      <c r="Q1463" t="s">
        <v>223</v>
      </c>
      <c r="R1463" s="11">
        <f t="shared" si="44"/>
        <v>5900</v>
      </c>
      <c r="S1463" t="str">
        <f t="shared" si="45"/>
        <v>One-Time</v>
      </c>
    </row>
    <row r="1464" spans="1:19" ht="15" customHeight="1" x14ac:dyDescent="0.3">
      <c r="A1464">
        <v>1463</v>
      </c>
      <c r="B1464" t="s">
        <v>1963</v>
      </c>
      <c r="C1464">
        <v>3289271</v>
      </c>
      <c r="D1464" t="s">
        <v>392</v>
      </c>
      <c r="E1464">
        <v>41</v>
      </c>
      <c r="F1464" t="s">
        <v>76</v>
      </c>
      <c r="G1464" s="10">
        <v>45326</v>
      </c>
      <c r="H1464" t="s">
        <v>38</v>
      </c>
      <c r="I1464" t="s">
        <v>82</v>
      </c>
      <c r="J1464" t="s">
        <v>51</v>
      </c>
      <c r="K1464" t="s">
        <v>128</v>
      </c>
      <c r="L1464" t="s">
        <v>58</v>
      </c>
      <c r="M1464" t="s">
        <v>315</v>
      </c>
      <c r="N1464">
        <v>7</v>
      </c>
      <c r="O1464" t="s">
        <v>117</v>
      </c>
      <c r="P1464" s="11">
        <v>5900</v>
      </c>
      <c r="Q1464" t="s">
        <v>129</v>
      </c>
      <c r="R1464" s="11">
        <f t="shared" si="44"/>
        <v>5900</v>
      </c>
      <c r="S1464" t="str">
        <f t="shared" si="45"/>
        <v>One-Time</v>
      </c>
    </row>
    <row r="1465" spans="1:19" ht="15" customHeight="1" x14ac:dyDescent="0.3">
      <c r="A1465">
        <v>1464</v>
      </c>
      <c r="B1465" t="s">
        <v>1964</v>
      </c>
      <c r="C1465">
        <v>224438</v>
      </c>
      <c r="D1465" t="s">
        <v>392</v>
      </c>
      <c r="E1465">
        <v>29</v>
      </c>
      <c r="F1465" t="s">
        <v>75</v>
      </c>
      <c r="G1465" s="10">
        <v>45326</v>
      </c>
      <c r="H1465" t="s">
        <v>38</v>
      </c>
      <c r="I1465" t="s">
        <v>82</v>
      </c>
      <c r="J1465" t="s">
        <v>51</v>
      </c>
      <c r="K1465" t="s">
        <v>115</v>
      </c>
      <c r="L1465" t="s">
        <v>58</v>
      </c>
      <c r="M1465" t="s">
        <v>315</v>
      </c>
      <c r="N1465">
        <v>2</v>
      </c>
      <c r="O1465" t="s">
        <v>117</v>
      </c>
      <c r="P1465" s="11">
        <v>5900</v>
      </c>
      <c r="Q1465" t="s">
        <v>265</v>
      </c>
      <c r="R1465" s="11">
        <f t="shared" si="44"/>
        <v>5900</v>
      </c>
      <c r="S1465" t="str">
        <f t="shared" si="45"/>
        <v>One-Time</v>
      </c>
    </row>
    <row r="1466" spans="1:19" ht="15" customHeight="1" x14ac:dyDescent="0.3">
      <c r="A1466">
        <v>1465</v>
      </c>
      <c r="B1466" t="s">
        <v>1965</v>
      </c>
      <c r="C1466">
        <v>1154525</v>
      </c>
      <c r="D1466" t="s">
        <v>392</v>
      </c>
      <c r="E1466">
        <v>29</v>
      </c>
      <c r="F1466" t="s">
        <v>75</v>
      </c>
      <c r="G1466" s="10">
        <v>45326</v>
      </c>
      <c r="H1466" t="s">
        <v>38</v>
      </c>
      <c r="I1466" t="s">
        <v>85</v>
      </c>
      <c r="J1466" t="s">
        <v>51</v>
      </c>
      <c r="K1466" t="s">
        <v>115</v>
      </c>
      <c r="L1466" t="s">
        <v>58</v>
      </c>
      <c r="M1466" t="s">
        <v>315</v>
      </c>
      <c r="N1466">
        <v>8</v>
      </c>
      <c r="O1466" t="s">
        <v>117</v>
      </c>
      <c r="P1466" s="11">
        <v>5900</v>
      </c>
      <c r="Q1466" t="s">
        <v>714</v>
      </c>
      <c r="R1466" s="11">
        <f t="shared" si="44"/>
        <v>0</v>
      </c>
      <c r="S1466" t="str">
        <f t="shared" si="45"/>
        <v>One-Time</v>
      </c>
    </row>
    <row r="1467" spans="1:19" ht="15" customHeight="1" x14ac:dyDescent="0.3">
      <c r="A1467">
        <v>1466</v>
      </c>
      <c r="B1467" t="s">
        <v>1966</v>
      </c>
      <c r="C1467">
        <v>8669517</v>
      </c>
      <c r="D1467" t="s">
        <v>392</v>
      </c>
      <c r="E1467">
        <v>47</v>
      </c>
      <c r="F1467" t="s">
        <v>76</v>
      </c>
      <c r="G1467" s="10">
        <v>45326</v>
      </c>
      <c r="H1467" t="s">
        <v>38</v>
      </c>
      <c r="I1467" t="s">
        <v>82</v>
      </c>
      <c r="J1467" t="s">
        <v>51</v>
      </c>
      <c r="K1467" t="s">
        <v>115</v>
      </c>
      <c r="L1467" t="s">
        <v>58</v>
      </c>
      <c r="M1467" t="s">
        <v>315</v>
      </c>
      <c r="N1467">
        <v>4</v>
      </c>
      <c r="O1467" t="s">
        <v>117</v>
      </c>
      <c r="P1467" s="11">
        <v>5900</v>
      </c>
      <c r="Q1467" t="s">
        <v>1967</v>
      </c>
      <c r="R1467" s="11">
        <f t="shared" si="44"/>
        <v>5900</v>
      </c>
      <c r="S1467" t="str">
        <f t="shared" si="45"/>
        <v>One-Time</v>
      </c>
    </row>
    <row r="1468" spans="1:19" ht="15" customHeight="1" x14ac:dyDescent="0.3">
      <c r="A1468">
        <v>1467</v>
      </c>
      <c r="B1468" t="s">
        <v>1968</v>
      </c>
      <c r="C1468">
        <v>4894136</v>
      </c>
      <c r="D1468" t="s">
        <v>392</v>
      </c>
      <c r="E1468">
        <v>56</v>
      </c>
      <c r="F1468" t="s">
        <v>77</v>
      </c>
      <c r="G1468" s="10">
        <v>45326</v>
      </c>
      <c r="H1468" t="s">
        <v>38</v>
      </c>
      <c r="I1468" t="s">
        <v>82</v>
      </c>
      <c r="J1468" t="s">
        <v>51</v>
      </c>
      <c r="K1468" t="s">
        <v>115</v>
      </c>
      <c r="L1468" t="s">
        <v>58</v>
      </c>
      <c r="M1468" t="s">
        <v>315</v>
      </c>
      <c r="N1468">
        <v>5</v>
      </c>
      <c r="O1468" t="s">
        <v>117</v>
      </c>
      <c r="P1468" s="11">
        <v>5900</v>
      </c>
      <c r="Q1468" t="s">
        <v>1969</v>
      </c>
      <c r="R1468" s="11">
        <f t="shared" si="44"/>
        <v>5900</v>
      </c>
      <c r="S1468" t="str">
        <f t="shared" si="45"/>
        <v>One-Time</v>
      </c>
    </row>
    <row r="1469" spans="1:19" ht="15" customHeight="1" x14ac:dyDescent="0.3">
      <c r="A1469">
        <v>1468</v>
      </c>
      <c r="B1469" t="s">
        <v>1970</v>
      </c>
      <c r="C1469">
        <v>6441994</v>
      </c>
      <c r="D1469" t="s">
        <v>392</v>
      </c>
      <c r="E1469">
        <v>51</v>
      </c>
      <c r="F1469" t="s">
        <v>77</v>
      </c>
      <c r="G1469" s="10">
        <v>45326</v>
      </c>
      <c r="H1469" t="s">
        <v>38</v>
      </c>
      <c r="I1469" t="s">
        <v>82</v>
      </c>
      <c r="J1469" t="s">
        <v>51</v>
      </c>
      <c r="K1469" t="s">
        <v>115</v>
      </c>
      <c r="L1469" t="s">
        <v>58</v>
      </c>
      <c r="M1469" t="s">
        <v>315</v>
      </c>
      <c r="N1469">
        <v>6</v>
      </c>
      <c r="O1469" t="s">
        <v>117</v>
      </c>
      <c r="P1469" s="11">
        <v>5900</v>
      </c>
      <c r="Q1469" t="s">
        <v>62</v>
      </c>
      <c r="R1469" s="11">
        <f t="shared" si="44"/>
        <v>5900</v>
      </c>
      <c r="S1469" t="str">
        <f t="shared" si="45"/>
        <v>One-Time</v>
      </c>
    </row>
    <row r="1470" spans="1:19" ht="15" customHeight="1" x14ac:dyDescent="0.3">
      <c r="A1470">
        <v>1469</v>
      </c>
      <c r="B1470" t="s">
        <v>1971</v>
      </c>
      <c r="C1470">
        <v>3857140</v>
      </c>
      <c r="D1470" t="s">
        <v>392</v>
      </c>
      <c r="E1470">
        <v>39</v>
      </c>
      <c r="F1470" t="s">
        <v>76</v>
      </c>
      <c r="G1470" s="10">
        <v>45326</v>
      </c>
      <c r="H1470" t="s">
        <v>38</v>
      </c>
      <c r="I1470" t="s">
        <v>82</v>
      </c>
      <c r="J1470" t="s">
        <v>51</v>
      </c>
      <c r="K1470" t="s">
        <v>187</v>
      </c>
      <c r="L1470" t="s">
        <v>58</v>
      </c>
      <c r="M1470" t="s">
        <v>315</v>
      </c>
      <c r="N1470">
        <v>31</v>
      </c>
      <c r="O1470" t="s">
        <v>117</v>
      </c>
      <c r="P1470" s="11">
        <v>5900</v>
      </c>
      <c r="Q1470" t="s">
        <v>68</v>
      </c>
      <c r="R1470" s="11">
        <f t="shared" si="44"/>
        <v>5900</v>
      </c>
      <c r="S1470" t="str">
        <f t="shared" si="45"/>
        <v>One-Time</v>
      </c>
    </row>
    <row r="1471" spans="1:19" ht="15" customHeight="1" x14ac:dyDescent="0.3">
      <c r="A1471">
        <v>1470</v>
      </c>
      <c r="B1471" t="s">
        <v>1972</v>
      </c>
      <c r="C1471">
        <v>1461081</v>
      </c>
      <c r="D1471" t="s">
        <v>392</v>
      </c>
      <c r="E1471">
        <v>65</v>
      </c>
      <c r="F1471" t="s">
        <v>77</v>
      </c>
      <c r="G1471" s="10">
        <v>45326</v>
      </c>
      <c r="H1471" t="s">
        <v>38</v>
      </c>
      <c r="I1471" t="s">
        <v>82</v>
      </c>
      <c r="J1471" t="s">
        <v>51</v>
      </c>
      <c r="K1471" t="s">
        <v>187</v>
      </c>
      <c r="L1471" t="s">
        <v>58</v>
      </c>
      <c r="M1471" t="s">
        <v>315</v>
      </c>
      <c r="N1471">
        <v>2</v>
      </c>
      <c r="O1471" t="s">
        <v>117</v>
      </c>
      <c r="P1471" s="11">
        <v>5900</v>
      </c>
      <c r="Q1471" t="s">
        <v>225</v>
      </c>
      <c r="R1471" s="11">
        <f t="shared" si="44"/>
        <v>5900</v>
      </c>
      <c r="S1471" t="str">
        <f t="shared" si="45"/>
        <v>One-Time</v>
      </c>
    </row>
    <row r="1472" spans="1:19" ht="15" customHeight="1" x14ac:dyDescent="0.3">
      <c r="A1472">
        <v>1471</v>
      </c>
      <c r="B1472" t="s">
        <v>1973</v>
      </c>
      <c r="C1472">
        <v>7515163</v>
      </c>
      <c r="D1472" t="s">
        <v>392</v>
      </c>
      <c r="E1472">
        <v>66</v>
      </c>
      <c r="F1472" t="s">
        <v>77</v>
      </c>
      <c r="G1472" s="10">
        <v>45326</v>
      </c>
      <c r="H1472" t="s">
        <v>38</v>
      </c>
      <c r="I1472" t="s">
        <v>82</v>
      </c>
      <c r="J1472" t="s">
        <v>51</v>
      </c>
      <c r="K1472" t="s">
        <v>187</v>
      </c>
      <c r="L1472" t="s">
        <v>58</v>
      </c>
      <c r="M1472" t="s">
        <v>315</v>
      </c>
      <c r="N1472">
        <v>5</v>
      </c>
      <c r="O1472" t="s">
        <v>117</v>
      </c>
      <c r="P1472" s="11">
        <v>5900</v>
      </c>
      <c r="Q1472" t="s">
        <v>155</v>
      </c>
      <c r="R1472" s="11">
        <f t="shared" si="44"/>
        <v>5900</v>
      </c>
      <c r="S1472" t="str">
        <f t="shared" si="45"/>
        <v>One-Time</v>
      </c>
    </row>
    <row r="1473" spans="1:19" ht="15" customHeight="1" x14ac:dyDescent="0.3">
      <c r="A1473">
        <v>1472</v>
      </c>
      <c r="B1473" t="s">
        <v>1974</v>
      </c>
      <c r="C1473">
        <v>584759</v>
      </c>
      <c r="D1473" t="s">
        <v>392</v>
      </c>
      <c r="E1473">
        <v>19</v>
      </c>
      <c r="F1473" t="s">
        <v>75</v>
      </c>
      <c r="G1473" s="10">
        <v>45326</v>
      </c>
      <c r="H1473" t="s">
        <v>38</v>
      </c>
      <c r="I1473" t="s">
        <v>82</v>
      </c>
      <c r="J1473" t="s">
        <v>51</v>
      </c>
      <c r="K1473" t="s">
        <v>187</v>
      </c>
      <c r="L1473" t="s">
        <v>58</v>
      </c>
      <c r="M1473" t="s">
        <v>315</v>
      </c>
      <c r="N1473">
        <v>5</v>
      </c>
      <c r="O1473" t="s">
        <v>117</v>
      </c>
      <c r="P1473" s="11">
        <v>5900</v>
      </c>
      <c r="Q1473" t="s">
        <v>71</v>
      </c>
      <c r="R1473" s="11">
        <f t="shared" si="44"/>
        <v>5900</v>
      </c>
      <c r="S1473" t="str">
        <f t="shared" si="45"/>
        <v>One-Time</v>
      </c>
    </row>
    <row r="1474" spans="1:19" ht="15" customHeight="1" x14ac:dyDescent="0.3">
      <c r="A1474">
        <v>1473</v>
      </c>
      <c r="B1474" t="s">
        <v>1975</v>
      </c>
      <c r="C1474">
        <v>5237450</v>
      </c>
      <c r="D1474" t="s">
        <v>392</v>
      </c>
      <c r="E1474">
        <v>21</v>
      </c>
      <c r="F1474" t="s">
        <v>75</v>
      </c>
      <c r="G1474" s="10">
        <v>45326</v>
      </c>
      <c r="H1474" t="s">
        <v>38</v>
      </c>
      <c r="I1474" t="s">
        <v>82</v>
      </c>
      <c r="J1474" t="s">
        <v>51</v>
      </c>
      <c r="K1474" t="s">
        <v>187</v>
      </c>
      <c r="L1474" t="s">
        <v>58</v>
      </c>
      <c r="M1474" t="s">
        <v>315</v>
      </c>
      <c r="N1474">
        <v>8</v>
      </c>
      <c r="O1474" t="s">
        <v>117</v>
      </c>
      <c r="P1474" s="11">
        <v>5900</v>
      </c>
      <c r="Q1474" t="s">
        <v>62</v>
      </c>
      <c r="R1474" s="11">
        <f t="shared" ref="R1474:R1501" si="46">IF(I1474="Delivered",P1474,0)</f>
        <v>5900</v>
      </c>
      <c r="S1474" t="str">
        <f t="shared" ref="S1474:S1501" si="47">IF(COUNTIF($C$2:$C$1501,C1474)&gt;1,"Repeat","One-Time")</f>
        <v>One-Time</v>
      </c>
    </row>
    <row r="1475" spans="1:19" ht="15" customHeight="1" x14ac:dyDescent="0.3">
      <c r="A1475">
        <v>1474</v>
      </c>
      <c r="B1475" t="s">
        <v>1976</v>
      </c>
      <c r="C1475">
        <v>5008235</v>
      </c>
      <c r="D1475" t="s">
        <v>392</v>
      </c>
      <c r="E1475">
        <v>48</v>
      </c>
      <c r="F1475" t="s">
        <v>76</v>
      </c>
      <c r="G1475" s="10">
        <v>45326</v>
      </c>
      <c r="H1475" t="s">
        <v>38</v>
      </c>
      <c r="I1475" t="s">
        <v>82</v>
      </c>
      <c r="J1475" t="s">
        <v>51</v>
      </c>
      <c r="K1475" t="s">
        <v>187</v>
      </c>
      <c r="L1475" t="s">
        <v>58</v>
      </c>
      <c r="M1475" t="s">
        <v>315</v>
      </c>
      <c r="N1475">
        <v>9</v>
      </c>
      <c r="O1475" t="s">
        <v>117</v>
      </c>
      <c r="P1475" s="11">
        <v>5900</v>
      </c>
      <c r="Q1475" t="s">
        <v>65</v>
      </c>
      <c r="R1475" s="11">
        <f t="shared" si="46"/>
        <v>5900</v>
      </c>
      <c r="S1475" t="str">
        <f t="shared" si="47"/>
        <v>One-Time</v>
      </c>
    </row>
    <row r="1476" spans="1:19" ht="15" customHeight="1" x14ac:dyDescent="0.3">
      <c r="A1476">
        <v>1475</v>
      </c>
      <c r="B1476" t="s">
        <v>1977</v>
      </c>
      <c r="C1476">
        <v>6214589</v>
      </c>
      <c r="D1476" t="s">
        <v>392</v>
      </c>
      <c r="E1476">
        <v>44</v>
      </c>
      <c r="F1476" t="s">
        <v>76</v>
      </c>
      <c r="G1476" s="10">
        <v>45326</v>
      </c>
      <c r="H1476" t="s">
        <v>38</v>
      </c>
      <c r="I1476" t="s">
        <v>82</v>
      </c>
      <c r="J1476" t="s">
        <v>51</v>
      </c>
      <c r="K1476" t="s">
        <v>187</v>
      </c>
      <c r="L1476" t="s">
        <v>58</v>
      </c>
      <c r="M1476" t="s">
        <v>315</v>
      </c>
      <c r="N1476">
        <v>8</v>
      </c>
      <c r="O1476" t="s">
        <v>117</v>
      </c>
      <c r="P1476" s="11">
        <v>5900</v>
      </c>
      <c r="Q1476" t="s">
        <v>350</v>
      </c>
      <c r="R1476" s="11">
        <f t="shared" si="46"/>
        <v>5900</v>
      </c>
      <c r="S1476" t="str">
        <f t="shared" si="47"/>
        <v>One-Time</v>
      </c>
    </row>
    <row r="1477" spans="1:19" ht="15" customHeight="1" x14ac:dyDescent="0.3">
      <c r="A1477">
        <v>1476</v>
      </c>
      <c r="B1477" t="s">
        <v>1978</v>
      </c>
      <c r="C1477">
        <v>3465545</v>
      </c>
      <c r="D1477" t="s">
        <v>392</v>
      </c>
      <c r="E1477">
        <v>53</v>
      </c>
      <c r="F1477" t="s">
        <v>77</v>
      </c>
      <c r="G1477" s="10">
        <v>45326</v>
      </c>
      <c r="H1477" t="s">
        <v>38</v>
      </c>
      <c r="I1477" t="s">
        <v>82</v>
      </c>
      <c r="J1477" t="s">
        <v>51</v>
      </c>
      <c r="K1477" t="s">
        <v>187</v>
      </c>
      <c r="L1477" t="s">
        <v>58</v>
      </c>
      <c r="M1477" t="s">
        <v>315</v>
      </c>
      <c r="N1477">
        <v>3</v>
      </c>
      <c r="O1477" t="s">
        <v>117</v>
      </c>
      <c r="P1477" s="11">
        <v>5900</v>
      </c>
      <c r="Q1477" t="s">
        <v>1979</v>
      </c>
      <c r="R1477" s="11">
        <f t="shared" si="46"/>
        <v>5900</v>
      </c>
      <c r="S1477" t="str">
        <f t="shared" si="47"/>
        <v>One-Time</v>
      </c>
    </row>
    <row r="1478" spans="1:19" ht="15" customHeight="1" x14ac:dyDescent="0.3">
      <c r="A1478">
        <v>1477</v>
      </c>
      <c r="B1478" t="s">
        <v>1980</v>
      </c>
      <c r="C1478">
        <v>390677</v>
      </c>
      <c r="D1478" t="s">
        <v>392</v>
      </c>
      <c r="E1478">
        <v>44</v>
      </c>
      <c r="F1478" t="s">
        <v>76</v>
      </c>
      <c r="G1478" s="10">
        <v>45326</v>
      </c>
      <c r="H1478" t="s">
        <v>38</v>
      </c>
      <c r="I1478" t="s">
        <v>82</v>
      </c>
      <c r="J1478" t="s">
        <v>51</v>
      </c>
      <c r="K1478" t="s">
        <v>187</v>
      </c>
      <c r="L1478" t="s">
        <v>58</v>
      </c>
      <c r="M1478" t="s">
        <v>315</v>
      </c>
      <c r="N1478">
        <v>4</v>
      </c>
      <c r="O1478" t="s">
        <v>117</v>
      </c>
      <c r="P1478" s="11">
        <v>5900</v>
      </c>
      <c r="Q1478" t="s">
        <v>1981</v>
      </c>
      <c r="R1478" s="11">
        <f t="shared" si="46"/>
        <v>5900</v>
      </c>
      <c r="S1478" t="str">
        <f t="shared" si="47"/>
        <v>One-Time</v>
      </c>
    </row>
    <row r="1479" spans="1:19" ht="15" customHeight="1" x14ac:dyDescent="0.3">
      <c r="A1479">
        <v>1478</v>
      </c>
      <c r="B1479" t="s">
        <v>1982</v>
      </c>
      <c r="C1479">
        <v>3680107</v>
      </c>
      <c r="D1479" t="s">
        <v>392</v>
      </c>
      <c r="E1479">
        <v>49</v>
      </c>
      <c r="F1479" t="s">
        <v>76</v>
      </c>
      <c r="G1479" s="10">
        <v>45326</v>
      </c>
      <c r="H1479" t="s">
        <v>38</v>
      </c>
      <c r="I1479" t="s">
        <v>82</v>
      </c>
      <c r="J1479" t="s">
        <v>51</v>
      </c>
      <c r="K1479" t="s">
        <v>187</v>
      </c>
      <c r="L1479" t="s">
        <v>58</v>
      </c>
      <c r="M1479" t="s">
        <v>315</v>
      </c>
      <c r="N1479">
        <v>4</v>
      </c>
      <c r="O1479" t="s">
        <v>117</v>
      </c>
      <c r="P1479" s="11">
        <v>5900</v>
      </c>
      <c r="Q1479" t="s">
        <v>1494</v>
      </c>
      <c r="R1479" s="11">
        <f t="shared" si="46"/>
        <v>5900</v>
      </c>
      <c r="S1479" t="str">
        <f t="shared" si="47"/>
        <v>One-Time</v>
      </c>
    </row>
    <row r="1480" spans="1:19" ht="15" customHeight="1" x14ac:dyDescent="0.3">
      <c r="A1480">
        <v>1479</v>
      </c>
      <c r="B1480" t="s">
        <v>1983</v>
      </c>
      <c r="C1480">
        <v>2033412</v>
      </c>
      <c r="D1480" t="s">
        <v>392</v>
      </c>
      <c r="E1480">
        <v>40</v>
      </c>
      <c r="F1480" t="s">
        <v>76</v>
      </c>
      <c r="G1480" s="10">
        <v>45326</v>
      </c>
      <c r="H1480" t="s">
        <v>38</v>
      </c>
      <c r="I1480" t="s">
        <v>82</v>
      </c>
      <c r="J1480" t="s">
        <v>51</v>
      </c>
      <c r="K1480" t="s">
        <v>187</v>
      </c>
      <c r="L1480" t="s">
        <v>58</v>
      </c>
      <c r="M1480" t="s">
        <v>315</v>
      </c>
      <c r="N1480">
        <v>9</v>
      </c>
      <c r="O1480" t="s">
        <v>117</v>
      </c>
      <c r="P1480" s="11">
        <v>5900</v>
      </c>
      <c r="Q1480" t="s">
        <v>1984</v>
      </c>
      <c r="R1480" s="11">
        <f t="shared" si="46"/>
        <v>5900</v>
      </c>
      <c r="S1480" t="str">
        <f t="shared" si="47"/>
        <v>One-Time</v>
      </c>
    </row>
    <row r="1481" spans="1:19" ht="15" customHeight="1" x14ac:dyDescent="0.3">
      <c r="A1481">
        <v>1480</v>
      </c>
      <c r="B1481" t="s">
        <v>1985</v>
      </c>
      <c r="C1481">
        <v>1477283</v>
      </c>
      <c r="D1481" t="s">
        <v>392</v>
      </c>
      <c r="E1481">
        <v>39</v>
      </c>
      <c r="F1481" t="s">
        <v>76</v>
      </c>
      <c r="G1481" s="10">
        <v>45326</v>
      </c>
      <c r="H1481" t="s">
        <v>38</v>
      </c>
      <c r="I1481" t="s">
        <v>82</v>
      </c>
      <c r="J1481" t="s">
        <v>51</v>
      </c>
      <c r="K1481" t="s">
        <v>187</v>
      </c>
      <c r="L1481" t="s">
        <v>58</v>
      </c>
      <c r="M1481" t="s">
        <v>315</v>
      </c>
      <c r="N1481">
        <v>8</v>
      </c>
      <c r="O1481" t="s">
        <v>117</v>
      </c>
      <c r="P1481" s="11">
        <v>5900</v>
      </c>
      <c r="Q1481" t="s">
        <v>145</v>
      </c>
      <c r="R1481" s="11">
        <f t="shared" si="46"/>
        <v>5900</v>
      </c>
      <c r="S1481" t="str">
        <f t="shared" si="47"/>
        <v>One-Time</v>
      </c>
    </row>
    <row r="1482" spans="1:19" ht="15" customHeight="1" x14ac:dyDescent="0.3">
      <c r="A1482">
        <v>1481</v>
      </c>
      <c r="B1482" t="s">
        <v>1986</v>
      </c>
      <c r="C1482">
        <v>988834</v>
      </c>
      <c r="D1482" t="s">
        <v>392</v>
      </c>
      <c r="E1482">
        <v>67</v>
      </c>
      <c r="F1482" t="s">
        <v>77</v>
      </c>
      <c r="G1482" s="10">
        <v>45326</v>
      </c>
      <c r="H1482" t="s">
        <v>38</v>
      </c>
      <c r="I1482" t="s">
        <v>82</v>
      </c>
      <c r="J1482" t="s">
        <v>51</v>
      </c>
      <c r="K1482" t="s">
        <v>187</v>
      </c>
      <c r="L1482" t="s">
        <v>58</v>
      </c>
      <c r="M1482" t="s">
        <v>315</v>
      </c>
      <c r="N1482">
        <v>3</v>
      </c>
      <c r="O1482" t="s">
        <v>117</v>
      </c>
      <c r="P1482" s="11">
        <v>6600</v>
      </c>
      <c r="Q1482" t="s">
        <v>1987</v>
      </c>
      <c r="R1482" s="11">
        <f t="shared" si="46"/>
        <v>6600</v>
      </c>
      <c r="S1482" t="str">
        <f t="shared" si="47"/>
        <v>One-Time</v>
      </c>
    </row>
    <row r="1483" spans="1:19" ht="15" customHeight="1" x14ac:dyDescent="0.3">
      <c r="A1483">
        <v>1482</v>
      </c>
      <c r="B1483" t="s">
        <v>1988</v>
      </c>
      <c r="C1483">
        <v>4583329</v>
      </c>
      <c r="D1483" t="s">
        <v>392</v>
      </c>
      <c r="E1483">
        <v>24</v>
      </c>
      <c r="F1483" t="s">
        <v>75</v>
      </c>
      <c r="G1483" s="10">
        <v>45326</v>
      </c>
      <c r="H1483" t="s">
        <v>38</v>
      </c>
      <c r="I1483" t="s">
        <v>83</v>
      </c>
      <c r="J1483" t="s">
        <v>51</v>
      </c>
      <c r="K1483" t="s">
        <v>187</v>
      </c>
      <c r="L1483" t="s">
        <v>58</v>
      </c>
      <c r="M1483" t="s">
        <v>122</v>
      </c>
      <c r="N1483">
        <v>6</v>
      </c>
      <c r="O1483" t="s">
        <v>117</v>
      </c>
      <c r="P1483" s="11">
        <v>6600</v>
      </c>
      <c r="Q1483" t="s">
        <v>477</v>
      </c>
      <c r="R1483" s="11">
        <f t="shared" si="46"/>
        <v>0</v>
      </c>
      <c r="S1483" t="str">
        <f t="shared" si="47"/>
        <v>One-Time</v>
      </c>
    </row>
    <row r="1484" spans="1:19" ht="15" customHeight="1" x14ac:dyDescent="0.3">
      <c r="A1484">
        <v>1483</v>
      </c>
      <c r="B1484" t="s">
        <v>1989</v>
      </c>
      <c r="C1484">
        <v>8936832</v>
      </c>
      <c r="D1484" t="s">
        <v>392</v>
      </c>
      <c r="E1484">
        <v>27</v>
      </c>
      <c r="F1484" t="s">
        <v>75</v>
      </c>
      <c r="G1484" s="10">
        <v>45326</v>
      </c>
      <c r="H1484" t="s">
        <v>38</v>
      </c>
      <c r="I1484" t="s">
        <v>85</v>
      </c>
      <c r="J1484" t="s">
        <v>51</v>
      </c>
      <c r="K1484" t="s">
        <v>187</v>
      </c>
      <c r="L1484" t="s">
        <v>58</v>
      </c>
      <c r="M1484" t="s">
        <v>122</v>
      </c>
      <c r="N1484">
        <v>9</v>
      </c>
      <c r="O1484" t="s">
        <v>117</v>
      </c>
      <c r="P1484" s="11">
        <v>6600</v>
      </c>
      <c r="Q1484" t="s">
        <v>1555</v>
      </c>
      <c r="R1484" s="11">
        <f t="shared" si="46"/>
        <v>0</v>
      </c>
      <c r="S1484" t="str">
        <f t="shared" si="47"/>
        <v>One-Time</v>
      </c>
    </row>
    <row r="1485" spans="1:19" ht="15" customHeight="1" x14ac:dyDescent="0.3">
      <c r="A1485">
        <v>1484</v>
      </c>
      <c r="B1485" t="s">
        <v>1990</v>
      </c>
      <c r="C1485">
        <v>9911191</v>
      </c>
      <c r="D1485" t="s">
        <v>392</v>
      </c>
      <c r="E1485">
        <v>66</v>
      </c>
      <c r="F1485" t="s">
        <v>77</v>
      </c>
      <c r="G1485" s="10">
        <v>45326</v>
      </c>
      <c r="H1485" t="s">
        <v>38</v>
      </c>
      <c r="I1485" t="s">
        <v>82</v>
      </c>
      <c r="J1485" t="s">
        <v>51</v>
      </c>
      <c r="K1485" t="s">
        <v>193</v>
      </c>
      <c r="L1485" t="s">
        <v>58</v>
      </c>
      <c r="M1485" t="s">
        <v>122</v>
      </c>
      <c r="N1485">
        <v>2</v>
      </c>
      <c r="O1485" t="s">
        <v>117</v>
      </c>
      <c r="P1485" s="11">
        <v>6600</v>
      </c>
      <c r="Q1485" t="s">
        <v>62</v>
      </c>
      <c r="R1485" s="11">
        <f t="shared" si="46"/>
        <v>6600</v>
      </c>
      <c r="S1485" t="str">
        <f t="shared" si="47"/>
        <v>One-Time</v>
      </c>
    </row>
    <row r="1486" spans="1:19" ht="15" customHeight="1" x14ac:dyDescent="0.3">
      <c r="A1486">
        <v>1485</v>
      </c>
      <c r="B1486" t="s">
        <v>1991</v>
      </c>
      <c r="C1486">
        <v>7773738</v>
      </c>
      <c r="D1486" t="s">
        <v>392</v>
      </c>
      <c r="E1486">
        <v>41</v>
      </c>
      <c r="F1486" t="s">
        <v>76</v>
      </c>
      <c r="G1486" s="10">
        <v>45326</v>
      </c>
      <c r="H1486" t="s">
        <v>38</v>
      </c>
      <c r="I1486" t="s">
        <v>82</v>
      </c>
      <c r="J1486" t="s">
        <v>51</v>
      </c>
      <c r="K1486" t="s">
        <v>193</v>
      </c>
      <c r="L1486" t="s">
        <v>56</v>
      </c>
      <c r="M1486" t="s">
        <v>122</v>
      </c>
      <c r="N1486">
        <v>5</v>
      </c>
      <c r="O1486" t="s">
        <v>117</v>
      </c>
      <c r="P1486" s="11">
        <v>6600</v>
      </c>
      <c r="Q1486" t="s">
        <v>524</v>
      </c>
      <c r="R1486" s="11">
        <f t="shared" si="46"/>
        <v>6600</v>
      </c>
      <c r="S1486" t="str">
        <f t="shared" si="47"/>
        <v>One-Time</v>
      </c>
    </row>
    <row r="1487" spans="1:19" ht="15" customHeight="1" x14ac:dyDescent="0.3">
      <c r="A1487">
        <v>1486</v>
      </c>
      <c r="B1487" t="s">
        <v>1992</v>
      </c>
      <c r="C1487">
        <v>9652389</v>
      </c>
      <c r="D1487" t="s">
        <v>392</v>
      </c>
      <c r="E1487">
        <v>24</v>
      </c>
      <c r="F1487" t="s">
        <v>75</v>
      </c>
      <c r="G1487" s="10">
        <v>45326</v>
      </c>
      <c r="H1487" t="s">
        <v>38</v>
      </c>
      <c r="I1487" t="s">
        <v>82</v>
      </c>
      <c r="J1487" t="s">
        <v>51</v>
      </c>
      <c r="K1487" t="s">
        <v>193</v>
      </c>
      <c r="L1487" t="s">
        <v>56</v>
      </c>
      <c r="M1487" t="s">
        <v>122</v>
      </c>
      <c r="N1487">
        <v>6</v>
      </c>
      <c r="O1487" t="s">
        <v>117</v>
      </c>
      <c r="P1487" s="11">
        <v>6600</v>
      </c>
      <c r="Q1487" t="s">
        <v>265</v>
      </c>
      <c r="R1487" s="11">
        <f t="shared" si="46"/>
        <v>6600</v>
      </c>
      <c r="S1487" t="str">
        <f t="shared" si="47"/>
        <v>One-Time</v>
      </c>
    </row>
    <row r="1488" spans="1:19" ht="15" customHeight="1" x14ac:dyDescent="0.3">
      <c r="A1488">
        <v>1487</v>
      </c>
      <c r="B1488" t="s">
        <v>1993</v>
      </c>
      <c r="C1488">
        <v>3312546</v>
      </c>
      <c r="D1488" t="s">
        <v>392</v>
      </c>
      <c r="E1488">
        <v>29</v>
      </c>
      <c r="F1488" t="s">
        <v>75</v>
      </c>
      <c r="G1488" s="10">
        <v>45366</v>
      </c>
      <c r="H1488" t="s">
        <v>39</v>
      </c>
      <c r="I1488" t="s">
        <v>82</v>
      </c>
      <c r="J1488" t="s">
        <v>51</v>
      </c>
      <c r="K1488" t="s">
        <v>193</v>
      </c>
      <c r="L1488" t="s">
        <v>56</v>
      </c>
      <c r="M1488" t="s">
        <v>122</v>
      </c>
      <c r="N1488">
        <v>9</v>
      </c>
      <c r="O1488" t="s">
        <v>117</v>
      </c>
      <c r="P1488" s="11">
        <v>6600</v>
      </c>
      <c r="Q1488" t="s">
        <v>1994</v>
      </c>
      <c r="R1488" s="11">
        <f t="shared" si="46"/>
        <v>6600</v>
      </c>
      <c r="S1488" t="str">
        <f t="shared" si="47"/>
        <v>One-Time</v>
      </c>
    </row>
    <row r="1489" spans="1:19" ht="15" customHeight="1" x14ac:dyDescent="0.3">
      <c r="A1489">
        <v>1488</v>
      </c>
      <c r="B1489" t="s">
        <v>1995</v>
      </c>
      <c r="C1489">
        <v>4251045</v>
      </c>
      <c r="D1489" t="s">
        <v>392</v>
      </c>
      <c r="E1489">
        <v>44</v>
      </c>
      <c r="F1489" t="s">
        <v>76</v>
      </c>
      <c r="G1489" s="10">
        <v>45367</v>
      </c>
      <c r="H1489" t="s">
        <v>39</v>
      </c>
      <c r="I1489" t="s">
        <v>82</v>
      </c>
      <c r="J1489" t="s">
        <v>51</v>
      </c>
      <c r="K1489" t="s">
        <v>193</v>
      </c>
      <c r="L1489" t="s">
        <v>56</v>
      </c>
      <c r="M1489" t="s">
        <v>122</v>
      </c>
      <c r="N1489">
        <v>7</v>
      </c>
      <c r="O1489" t="s">
        <v>117</v>
      </c>
      <c r="P1489" s="11">
        <v>6600</v>
      </c>
      <c r="Q1489" t="s">
        <v>65</v>
      </c>
      <c r="R1489" s="11">
        <f t="shared" si="46"/>
        <v>6600</v>
      </c>
      <c r="S1489" t="str">
        <f t="shared" si="47"/>
        <v>One-Time</v>
      </c>
    </row>
    <row r="1490" spans="1:19" ht="15" customHeight="1" x14ac:dyDescent="0.3">
      <c r="A1490">
        <v>1489</v>
      </c>
      <c r="B1490" t="s">
        <v>1996</v>
      </c>
      <c r="C1490">
        <v>7485773</v>
      </c>
      <c r="D1490" t="s">
        <v>392</v>
      </c>
      <c r="E1490">
        <v>36</v>
      </c>
      <c r="F1490" t="s">
        <v>76</v>
      </c>
      <c r="G1490" s="10">
        <v>45368</v>
      </c>
      <c r="H1490" t="s">
        <v>39</v>
      </c>
      <c r="I1490" t="s">
        <v>82</v>
      </c>
      <c r="J1490" t="s">
        <v>51</v>
      </c>
      <c r="K1490" t="s">
        <v>193</v>
      </c>
      <c r="L1490" t="s">
        <v>56</v>
      </c>
      <c r="M1490" t="s">
        <v>122</v>
      </c>
      <c r="N1490">
        <v>81</v>
      </c>
      <c r="O1490" t="s">
        <v>117</v>
      </c>
      <c r="P1490" s="11">
        <v>6600</v>
      </c>
      <c r="Q1490" t="s">
        <v>1087</v>
      </c>
      <c r="R1490" s="11">
        <f t="shared" si="46"/>
        <v>6600</v>
      </c>
      <c r="S1490" t="str">
        <f t="shared" si="47"/>
        <v>One-Time</v>
      </c>
    </row>
    <row r="1491" spans="1:19" ht="15" customHeight="1" x14ac:dyDescent="0.3">
      <c r="A1491">
        <v>1490</v>
      </c>
      <c r="B1491" t="s">
        <v>1997</v>
      </c>
      <c r="C1491">
        <v>986501</v>
      </c>
      <c r="D1491" t="s">
        <v>392</v>
      </c>
      <c r="E1491">
        <v>51</v>
      </c>
      <c r="F1491" t="s">
        <v>77</v>
      </c>
      <c r="G1491" s="10">
        <v>45369</v>
      </c>
      <c r="H1491" t="s">
        <v>39</v>
      </c>
      <c r="I1491" t="s">
        <v>82</v>
      </c>
      <c r="J1491" t="s">
        <v>51</v>
      </c>
      <c r="K1491" t="s">
        <v>193</v>
      </c>
      <c r="L1491" t="s">
        <v>56</v>
      </c>
      <c r="M1491" t="s">
        <v>122</v>
      </c>
      <c r="N1491">
        <v>24</v>
      </c>
      <c r="O1491" t="s">
        <v>117</v>
      </c>
      <c r="P1491" s="11">
        <v>6600</v>
      </c>
      <c r="Q1491" t="s">
        <v>63</v>
      </c>
      <c r="R1491" s="11">
        <f t="shared" si="46"/>
        <v>6600</v>
      </c>
      <c r="S1491" t="str">
        <f t="shared" si="47"/>
        <v>One-Time</v>
      </c>
    </row>
    <row r="1492" spans="1:19" ht="15" customHeight="1" x14ac:dyDescent="0.3">
      <c r="A1492">
        <v>1491</v>
      </c>
      <c r="B1492" t="s">
        <v>1998</v>
      </c>
      <c r="C1492">
        <v>3791898</v>
      </c>
      <c r="D1492" t="s">
        <v>392</v>
      </c>
      <c r="E1492">
        <v>57</v>
      </c>
      <c r="F1492" t="s">
        <v>77</v>
      </c>
      <c r="G1492" s="10">
        <v>45370</v>
      </c>
      <c r="H1492" t="s">
        <v>39</v>
      </c>
      <c r="I1492" t="s">
        <v>82</v>
      </c>
      <c r="J1492" t="s">
        <v>51</v>
      </c>
      <c r="K1492" t="s">
        <v>193</v>
      </c>
      <c r="L1492" t="s">
        <v>56</v>
      </c>
      <c r="M1492" t="s">
        <v>122</v>
      </c>
      <c r="N1492">
        <v>56</v>
      </c>
      <c r="O1492" t="s">
        <v>117</v>
      </c>
      <c r="P1492" s="11">
        <v>6600</v>
      </c>
      <c r="Q1492" t="s">
        <v>155</v>
      </c>
      <c r="R1492" s="11">
        <f t="shared" si="46"/>
        <v>6600</v>
      </c>
      <c r="S1492" t="str">
        <f t="shared" si="47"/>
        <v>One-Time</v>
      </c>
    </row>
    <row r="1493" spans="1:19" ht="15" customHeight="1" x14ac:dyDescent="0.3">
      <c r="A1493">
        <v>1492</v>
      </c>
      <c r="B1493" t="s">
        <v>1999</v>
      </c>
      <c r="C1493">
        <v>6685863</v>
      </c>
      <c r="D1493" t="s">
        <v>392</v>
      </c>
      <c r="E1493">
        <v>40</v>
      </c>
      <c r="F1493" t="s">
        <v>76</v>
      </c>
      <c r="G1493" s="10">
        <v>45371</v>
      </c>
      <c r="H1493" t="s">
        <v>39</v>
      </c>
      <c r="I1493" t="s">
        <v>85</v>
      </c>
      <c r="J1493" t="s">
        <v>51</v>
      </c>
      <c r="K1493" t="s">
        <v>193</v>
      </c>
      <c r="L1493" t="s">
        <v>56</v>
      </c>
      <c r="M1493" t="s">
        <v>122</v>
      </c>
      <c r="N1493">
        <v>55</v>
      </c>
      <c r="O1493" t="s">
        <v>117</v>
      </c>
      <c r="P1493" s="11">
        <v>6600</v>
      </c>
      <c r="Q1493" t="s">
        <v>2000</v>
      </c>
      <c r="R1493" s="11">
        <f t="shared" si="46"/>
        <v>0</v>
      </c>
      <c r="S1493" t="str">
        <f t="shared" si="47"/>
        <v>One-Time</v>
      </c>
    </row>
    <row r="1494" spans="1:19" ht="15" customHeight="1" x14ac:dyDescent="0.3">
      <c r="A1494">
        <v>1493</v>
      </c>
      <c r="B1494" t="s">
        <v>2001</v>
      </c>
      <c r="C1494">
        <v>345867</v>
      </c>
      <c r="D1494" t="s">
        <v>392</v>
      </c>
      <c r="E1494">
        <v>28</v>
      </c>
      <c r="F1494" t="s">
        <v>75</v>
      </c>
      <c r="G1494" s="10">
        <v>45372</v>
      </c>
      <c r="H1494" t="s">
        <v>39</v>
      </c>
      <c r="I1494" t="s">
        <v>85</v>
      </c>
      <c r="J1494" t="s">
        <v>51</v>
      </c>
      <c r="K1494" t="s">
        <v>193</v>
      </c>
      <c r="L1494" t="s">
        <v>56</v>
      </c>
      <c r="M1494" t="s">
        <v>122</v>
      </c>
      <c r="N1494">
        <v>5</v>
      </c>
      <c r="O1494" t="s">
        <v>117</v>
      </c>
      <c r="P1494" s="11">
        <v>6600</v>
      </c>
      <c r="Q1494" t="s">
        <v>2002</v>
      </c>
      <c r="R1494" s="11">
        <f t="shared" si="46"/>
        <v>0</v>
      </c>
      <c r="S1494" t="str">
        <f t="shared" si="47"/>
        <v>One-Time</v>
      </c>
    </row>
    <row r="1495" spans="1:19" ht="15" customHeight="1" x14ac:dyDescent="0.3">
      <c r="A1495">
        <v>1494</v>
      </c>
      <c r="B1495" t="s">
        <v>2003</v>
      </c>
      <c r="C1495">
        <v>6911000</v>
      </c>
      <c r="D1495" t="s">
        <v>392</v>
      </c>
      <c r="E1495">
        <v>31</v>
      </c>
      <c r="F1495" t="s">
        <v>76</v>
      </c>
      <c r="G1495" s="10">
        <v>45373</v>
      </c>
      <c r="H1495" t="s">
        <v>39</v>
      </c>
      <c r="I1495" t="s">
        <v>82</v>
      </c>
      <c r="J1495" t="s">
        <v>51</v>
      </c>
      <c r="K1495" t="s">
        <v>193</v>
      </c>
      <c r="L1495" t="s">
        <v>56</v>
      </c>
      <c r="M1495" t="s">
        <v>122</v>
      </c>
      <c r="N1495">
        <v>4</v>
      </c>
      <c r="O1495" t="s">
        <v>117</v>
      </c>
      <c r="P1495" s="11">
        <v>6600</v>
      </c>
      <c r="Q1495" t="s">
        <v>429</v>
      </c>
      <c r="R1495" s="11">
        <f t="shared" si="46"/>
        <v>6600</v>
      </c>
      <c r="S1495" t="str">
        <f t="shared" si="47"/>
        <v>One-Time</v>
      </c>
    </row>
    <row r="1496" spans="1:19" ht="15" customHeight="1" x14ac:dyDescent="0.3">
      <c r="A1496">
        <v>1495</v>
      </c>
      <c r="B1496" t="s">
        <v>2004</v>
      </c>
      <c r="C1496">
        <v>8893631</v>
      </c>
      <c r="D1496" t="s">
        <v>392</v>
      </c>
      <c r="E1496">
        <v>37</v>
      </c>
      <c r="F1496" t="s">
        <v>76</v>
      </c>
      <c r="G1496" s="10">
        <v>45374</v>
      </c>
      <c r="H1496" t="s">
        <v>39</v>
      </c>
      <c r="I1496" t="s">
        <v>82</v>
      </c>
      <c r="J1496" t="s">
        <v>51</v>
      </c>
      <c r="K1496" t="s">
        <v>193</v>
      </c>
      <c r="L1496" t="s">
        <v>56</v>
      </c>
      <c r="M1496" t="s">
        <v>122</v>
      </c>
      <c r="N1496">
        <v>8</v>
      </c>
      <c r="O1496" t="s">
        <v>117</v>
      </c>
      <c r="P1496" s="11">
        <v>6600</v>
      </c>
      <c r="Q1496" t="s">
        <v>62</v>
      </c>
      <c r="R1496" s="11">
        <f t="shared" si="46"/>
        <v>6600</v>
      </c>
      <c r="S1496" t="str">
        <f t="shared" si="47"/>
        <v>One-Time</v>
      </c>
    </row>
    <row r="1497" spans="1:19" ht="15" customHeight="1" x14ac:dyDescent="0.3">
      <c r="A1497">
        <v>1496</v>
      </c>
      <c r="B1497" t="s">
        <v>2005</v>
      </c>
      <c r="C1497">
        <v>6796932</v>
      </c>
      <c r="D1497" t="s">
        <v>392</v>
      </c>
      <c r="E1497">
        <v>25</v>
      </c>
      <c r="F1497" t="s">
        <v>75</v>
      </c>
      <c r="G1497" s="10">
        <v>45375</v>
      </c>
      <c r="H1497" t="s">
        <v>39</v>
      </c>
      <c r="I1497" t="s">
        <v>82</v>
      </c>
      <c r="J1497" t="s">
        <v>51</v>
      </c>
      <c r="K1497" t="s">
        <v>193</v>
      </c>
      <c r="L1497" t="s">
        <v>56</v>
      </c>
      <c r="M1497" t="s">
        <v>122</v>
      </c>
      <c r="N1497">
        <v>7</v>
      </c>
      <c r="O1497" t="s">
        <v>117</v>
      </c>
      <c r="P1497" s="11">
        <v>6600</v>
      </c>
      <c r="Q1497" t="s">
        <v>64</v>
      </c>
      <c r="R1497" s="11">
        <f t="shared" si="46"/>
        <v>6600</v>
      </c>
      <c r="S1497" t="str">
        <f t="shared" si="47"/>
        <v>Repeat</v>
      </c>
    </row>
    <row r="1498" spans="1:19" ht="15" customHeight="1" x14ac:dyDescent="0.3">
      <c r="A1498">
        <v>1497</v>
      </c>
      <c r="B1498" t="s">
        <v>2005</v>
      </c>
      <c r="C1498">
        <v>6796932</v>
      </c>
      <c r="D1498" t="s">
        <v>392</v>
      </c>
      <c r="E1498">
        <v>23</v>
      </c>
      <c r="F1498" t="s">
        <v>75</v>
      </c>
      <c r="G1498" s="10">
        <v>45376</v>
      </c>
      <c r="H1498" t="s">
        <v>39</v>
      </c>
      <c r="I1498" t="s">
        <v>82</v>
      </c>
      <c r="J1498" t="s">
        <v>51</v>
      </c>
      <c r="K1498" t="s">
        <v>193</v>
      </c>
      <c r="L1498" t="s">
        <v>56</v>
      </c>
      <c r="M1498" t="s">
        <v>122</v>
      </c>
      <c r="N1498">
        <v>9</v>
      </c>
      <c r="O1498" t="s">
        <v>117</v>
      </c>
      <c r="P1498" s="11">
        <v>6600</v>
      </c>
      <c r="Q1498" t="s">
        <v>307</v>
      </c>
      <c r="R1498" s="11">
        <f t="shared" si="46"/>
        <v>6600</v>
      </c>
      <c r="S1498" t="str">
        <f t="shared" si="47"/>
        <v>Repeat</v>
      </c>
    </row>
    <row r="1499" spans="1:19" ht="15" customHeight="1" x14ac:dyDescent="0.3">
      <c r="A1499">
        <v>1498</v>
      </c>
      <c r="B1499" t="s">
        <v>2006</v>
      </c>
      <c r="C1499">
        <v>271059</v>
      </c>
      <c r="D1499" t="s">
        <v>392</v>
      </c>
      <c r="E1499">
        <v>26</v>
      </c>
      <c r="F1499" t="s">
        <v>75</v>
      </c>
      <c r="G1499" s="10">
        <v>45377</v>
      </c>
      <c r="H1499" t="s">
        <v>39</v>
      </c>
      <c r="I1499" t="s">
        <v>82</v>
      </c>
      <c r="J1499" t="s">
        <v>51</v>
      </c>
      <c r="K1499" t="s">
        <v>193</v>
      </c>
      <c r="L1499" t="s">
        <v>56</v>
      </c>
      <c r="M1499" t="s">
        <v>122</v>
      </c>
      <c r="N1499">
        <v>3</v>
      </c>
      <c r="O1499" t="s">
        <v>117</v>
      </c>
      <c r="P1499" s="11">
        <v>6600</v>
      </c>
      <c r="Q1499" t="s">
        <v>265</v>
      </c>
      <c r="R1499" s="11">
        <f t="shared" si="46"/>
        <v>6600</v>
      </c>
      <c r="S1499" t="str">
        <f t="shared" si="47"/>
        <v>Repeat</v>
      </c>
    </row>
    <row r="1500" spans="1:19" ht="15" customHeight="1" x14ac:dyDescent="0.3">
      <c r="A1500">
        <v>1499</v>
      </c>
      <c r="B1500" t="s">
        <v>2006</v>
      </c>
      <c r="C1500">
        <v>271059</v>
      </c>
      <c r="D1500" t="s">
        <v>392</v>
      </c>
      <c r="E1500">
        <v>30</v>
      </c>
      <c r="F1500" t="s">
        <v>76</v>
      </c>
      <c r="G1500" s="10">
        <v>45378</v>
      </c>
      <c r="H1500" t="s">
        <v>39</v>
      </c>
      <c r="I1500" t="s">
        <v>82</v>
      </c>
      <c r="J1500" t="s">
        <v>51</v>
      </c>
      <c r="K1500" t="s">
        <v>193</v>
      </c>
      <c r="L1500" t="s">
        <v>56</v>
      </c>
      <c r="M1500" t="s">
        <v>122</v>
      </c>
      <c r="N1500">
        <v>32</v>
      </c>
      <c r="O1500" t="s">
        <v>117</v>
      </c>
      <c r="P1500" s="11">
        <v>6600</v>
      </c>
      <c r="Q1500" t="s">
        <v>62</v>
      </c>
      <c r="R1500" s="11">
        <f t="shared" si="46"/>
        <v>6600</v>
      </c>
      <c r="S1500" t="str">
        <f t="shared" si="47"/>
        <v>Repeat</v>
      </c>
    </row>
    <row r="1501" spans="1:19" ht="15" customHeight="1" x14ac:dyDescent="0.3">
      <c r="A1501">
        <v>1500</v>
      </c>
      <c r="B1501" t="s">
        <v>2006</v>
      </c>
      <c r="C1501">
        <v>271059</v>
      </c>
      <c r="D1501" t="s">
        <v>392</v>
      </c>
      <c r="E1501">
        <v>34</v>
      </c>
      <c r="F1501" t="s">
        <v>76</v>
      </c>
      <c r="G1501" s="10">
        <v>45379</v>
      </c>
      <c r="H1501" t="s">
        <v>39</v>
      </c>
      <c r="I1501" t="s">
        <v>82</v>
      </c>
      <c r="J1501" t="s">
        <v>51</v>
      </c>
      <c r="K1501" t="s">
        <v>115</v>
      </c>
      <c r="L1501" t="s">
        <v>56</v>
      </c>
      <c r="M1501" t="s">
        <v>122</v>
      </c>
      <c r="N1501">
        <v>65</v>
      </c>
      <c r="O1501" t="s">
        <v>117</v>
      </c>
      <c r="P1501" s="11">
        <v>6600</v>
      </c>
      <c r="Q1501" t="s">
        <v>71</v>
      </c>
      <c r="R1501" s="11">
        <f t="shared" si="46"/>
        <v>6600</v>
      </c>
      <c r="S1501" t="str">
        <f t="shared" si="47"/>
        <v>Repeat</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Dashboard</vt:lpstr>
      <vt:lpstr>Insights</vt:lpstr>
      <vt:lpstr>Analysis</vt:lpstr>
      <vt:lpstr>Data</vt:lpstr>
      <vt:lpstr>Dashboard!Print_Area</vt:lpstr>
      <vt:lpstr>Insights!Print_Area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Whey Protein Sales Analysis 2024</dc:title>
  <dc:subject>FMCG Sales Analytics Portfolio Project</dc:subject>
  <dc:creator>Dattaprasad Tawate</dc:creator>
  <dc:description>Self-directed analytics project cleaning and analyzing a 1,500-row whey protein sales dataset (Jan-Aug 2024): data cleaning, formula-driven KPI/summary tables, an executive dashboard, and written business insights.</dc:description>
  <cp:lastModifiedBy>Dattaprasad Tawate</cp:lastModifiedBy>
  <cp:revision>1</cp:revision>
  <dcterms:created xsi:type="dcterms:W3CDTF">2026-09-05T05:49:07Z</dcterms:created>
  <dcterms:modified xsi:type="dcterms:W3CDTF">2026-09-05T06:11:50Z</dcterms:modified>
  <dc:language>en-US</dc:language>
</cp:coreProperties>
</file>